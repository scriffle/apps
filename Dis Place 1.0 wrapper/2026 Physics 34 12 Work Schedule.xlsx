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irrahmacarthur/Claude access/Dis Place 1.0 wrapper/"/>
    </mc:Choice>
  </mc:AlternateContent>
  <xr:revisionPtr revIDLastSave="0" documentId="13_ncr:1_{39DD6AEF-4F49-BE40-AB8B-C4850488E899}" xr6:coauthVersionLast="47" xr6:coauthVersionMax="47" xr10:uidLastSave="{00000000-0000-0000-0000-000000000000}"/>
  <bookViews>
    <workbookView xWindow="-28900" yWindow="620" windowWidth="14620" windowHeight="15580" firstSheet="3" activeTab="5" xr2:uid="{00000000-000D-0000-FFFF-FFFF00000000}"/>
  </bookViews>
  <sheets>
    <sheet name="EVA Physics 34 schedule" sheetId="3" r:id="rId1"/>
    <sheet name="JIM Physics 34 schedule" sheetId="4" r:id="rId2"/>
    <sheet name="JIM Physics12 schedule" sheetId="6" r:id="rId3"/>
    <sheet name="Physics 34 2026" sheetId="2" r:id="rId4"/>
    <sheet name="Physics 12 2026" sheetId="5" r:id="rId5"/>
    <sheet name="Template 34 2026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D10" i="3"/>
  <c r="B9" i="3"/>
  <c r="C9" i="3"/>
  <c r="D9" i="3"/>
  <c r="F9" i="3"/>
  <c r="E8" i="3"/>
  <c r="E9" i="3"/>
  <c r="E10" i="3"/>
  <c r="B7" i="3"/>
  <c r="C7" i="3"/>
  <c r="D7" i="3"/>
  <c r="F7" i="3"/>
  <c r="E7" i="3"/>
  <c r="E6" i="3"/>
  <c r="C10" i="4"/>
  <c r="B9" i="4"/>
  <c r="B10" i="4"/>
  <c r="B8" i="4"/>
  <c r="C8" i="4"/>
  <c r="D8" i="4"/>
  <c r="D9" i="4"/>
  <c r="D10" i="4"/>
  <c r="D7" i="4"/>
  <c r="E7" i="4"/>
  <c r="F7" i="4"/>
  <c r="E8" i="4"/>
  <c r="F8" i="4"/>
  <c r="E9" i="4"/>
  <c r="F9" i="4"/>
  <c r="E10" i="4"/>
  <c r="F10" i="4"/>
  <c r="F6" i="4"/>
  <c r="E6" i="4"/>
  <c r="D33" i="6"/>
  <c r="A39" i="6"/>
  <c r="A40" i="6"/>
  <c r="C33" i="6"/>
  <c r="E33" i="6"/>
  <c r="F33" i="6"/>
  <c r="C34" i="6"/>
  <c r="D34" i="6"/>
  <c r="E34" i="6"/>
  <c r="F34" i="6"/>
  <c r="C35" i="6"/>
  <c r="D35" i="6"/>
  <c r="E35" i="6"/>
  <c r="F35" i="6"/>
  <c r="C36" i="6"/>
  <c r="D36" i="6"/>
  <c r="E36" i="6"/>
  <c r="F36" i="6"/>
  <c r="C37" i="6"/>
  <c r="D37" i="6"/>
  <c r="E37" i="6"/>
  <c r="F37" i="6"/>
  <c r="C38" i="6"/>
  <c r="D38" i="6"/>
  <c r="E38" i="6"/>
  <c r="F38" i="6"/>
  <c r="C39" i="6"/>
  <c r="D39" i="6"/>
  <c r="E39" i="6"/>
  <c r="F39" i="6"/>
  <c r="C40" i="6"/>
  <c r="D40" i="6"/>
  <c r="E40" i="6"/>
  <c r="B34" i="6"/>
  <c r="B35" i="6"/>
  <c r="B36" i="6"/>
  <c r="B37" i="6"/>
  <c r="B38" i="6"/>
  <c r="B39" i="6"/>
  <c r="B40" i="6"/>
  <c r="B33" i="6"/>
  <c r="F23" i="6"/>
  <c r="F24" i="6"/>
  <c r="F25" i="6"/>
  <c r="F26" i="6"/>
  <c r="F27" i="6"/>
  <c r="F28" i="6"/>
  <c r="F29" i="6"/>
  <c r="F30" i="6"/>
  <c r="F31" i="6"/>
  <c r="F12" i="6"/>
  <c r="F13" i="6"/>
  <c r="F14" i="6"/>
  <c r="F15" i="6"/>
  <c r="F16" i="6"/>
  <c r="F17" i="6"/>
  <c r="F18" i="6"/>
  <c r="F19" i="6"/>
  <c r="F20" i="6"/>
  <c r="F21" i="6"/>
  <c r="F2" i="6"/>
  <c r="F3" i="6"/>
  <c r="F4" i="6"/>
  <c r="F5" i="6"/>
  <c r="F6" i="6"/>
  <c r="F7" i="6"/>
  <c r="F8" i="6"/>
  <c r="F9" i="6"/>
  <c r="F10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C23" i="6"/>
  <c r="D23" i="6"/>
  <c r="E23" i="6"/>
  <c r="B23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C12" i="6"/>
  <c r="D12" i="6"/>
  <c r="E12" i="6"/>
  <c r="B12" i="6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C2" i="6"/>
  <c r="D2" i="6"/>
  <c r="E2" i="6"/>
  <c r="B2" i="6"/>
  <c r="C36" i="4"/>
  <c r="B16" i="3"/>
  <c r="C16" i="3"/>
  <c r="D16" i="3"/>
  <c r="E16" i="3"/>
  <c r="F16" i="3"/>
  <c r="B17" i="3"/>
  <c r="C17" i="3"/>
  <c r="D17" i="3"/>
  <c r="E17" i="3"/>
  <c r="B18" i="3"/>
  <c r="C18" i="3"/>
  <c r="D18" i="3"/>
  <c r="E18" i="3"/>
  <c r="F18" i="3"/>
  <c r="B19" i="3"/>
  <c r="C19" i="3"/>
  <c r="D19" i="3"/>
  <c r="E19" i="3"/>
  <c r="B20" i="3"/>
  <c r="C20" i="3"/>
  <c r="D20" i="3"/>
  <c r="E20" i="3"/>
  <c r="F20" i="3"/>
  <c r="B21" i="3"/>
  <c r="C21" i="3"/>
  <c r="D21" i="3"/>
  <c r="E21" i="3"/>
  <c r="C33" i="4"/>
  <c r="D33" i="4"/>
  <c r="E33" i="4"/>
  <c r="F33" i="4"/>
  <c r="C34" i="4"/>
  <c r="D34" i="4"/>
  <c r="E34" i="4"/>
  <c r="F34" i="4"/>
  <c r="C37" i="4"/>
  <c r="B34" i="4"/>
  <c r="B35" i="4"/>
  <c r="B37" i="4"/>
  <c r="B33" i="4"/>
  <c r="C23" i="4"/>
  <c r="D23" i="4"/>
  <c r="E23" i="4"/>
  <c r="F23" i="4"/>
  <c r="C24" i="4"/>
  <c r="D24" i="4"/>
  <c r="E24" i="4"/>
  <c r="F24" i="4"/>
  <c r="C25" i="4"/>
  <c r="D25" i="4"/>
  <c r="E25" i="4"/>
  <c r="F25" i="4"/>
  <c r="C26" i="4"/>
  <c r="D26" i="4"/>
  <c r="E26" i="4"/>
  <c r="F26" i="4"/>
  <c r="C27" i="4"/>
  <c r="D27" i="4"/>
  <c r="E27" i="4"/>
  <c r="F27" i="4"/>
  <c r="C28" i="4"/>
  <c r="D28" i="4"/>
  <c r="E28" i="4"/>
  <c r="F28" i="4"/>
  <c r="C29" i="4"/>
  <c r="D29" i="4"/>
  <c r="E29" i="4"/>
  <c r="F29" i="4"/>
  <c r="C30" i="4"/>
  <c r="D30" i="4"/>
  <c r="E30" i="4"/>
  <c r="F30" i="4"/>
  <c r="C31" i="4"/>
  <c r="D31" i="4"/>
  <c r="E31" i="4"/>
  <c r="F31" i="4"/>
  <c r="B24" i="4"/>
  <c r="B25" i="4"/>
  <c r="B26" i="4"/>
  <c r="B27" i="4"/>
  <c r="B28" i="4"/>
  <c r="B29" i="4"/>
  <c r="B30" i="4"/>
  <c r="B3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B13" i="4"/>
  <c r="B14" i="4"/>
  <c r="B15" i="4"/>
  <c r="B16" i="4"/>
  <c r="B17" i="4"/>
  <c r="B18" i="4"/>
  <c r="B19" i="4"/>
  <c r="B20" i="4"/>
  <c r="B21" i="4"/>
  <c r="B12" i="4"/>
  <c r="C2" i="4"/>
  <c r="D2" i="4"/>
  <c r="E2" i="4"/>
  <c r="F2" i="4"/>
  <c r="C3" i="4"/>
  <c r="D3" i="4"/>
  <c r="E3" i="4"/>
  <c r="F3" i="4"/>
  <c r="C4" i="4"/>
  <c r="D4" i="4"/>
  <c r="E4" i="4"/>
  <c r="F4" i="4"/>
  <c r="C5" i="4"/>
  <c r="D5" i="4"/>
  <c r="E5" i="4"/>
  <c r="F5" i="4"/>
  <c r="C6" i="4"/>
  <c r="D6" i="4"/>
  <c r="C7" i="4"/>
  <c r="C9" i="4"/>
  <c r="B4" i="4"/>
  <c r="B5" i="4"/>
  <c r="B6" i="4"/>
  <c r="B7" i="4"/>
  <c r="B3" i="4"/>
  <c r="B2" i="4"/>
  <c r="F34" i="3"/>
  <c r="C33" i="3"/>
  <c r="D33" i="3"/>
  <c r="E33" i="3"/>
  <c r="C34" i="3"/>
  <c r="D34" i="3"/>
  <c r="E34" i="3"/>
  <c r="C37" i="3"/>
  <c r="D37" i="3"/>
  <c r="B34" i="3"/>
  <c r="B35" i="3"/>
  <c r="B37" i="3"/>
  <c r="B33" i="3"/>
  <c r="F31" i="3"/>
  <c r="F29" i="3"/>
  <c r="F27" i="3"/>
  <c r="F25" i="3"/>
  <c r="F23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B24" i="3"/>
  <c r="B25" i="3"/>
  <c r="B26" i="3"/>
  <c r="B27" i="3"/>
  <c r="B28" i="3"/>
  <c r="B29" i="3"/>
  <c r="B30" i="3"/>
  <c r="B31" i="3"/>
  <c r="B23" i="3"/>
  <c r="F14" i="3"/>
  <c r="F12" i="3"/>
  <c r="C13" i="3"/>
  <c r="D13" i="3"/>
  <c r="E13" i="3"/>
  <c r="C14" i="3"/>
  <c r="D14" i="3"/>
  <c r="E14" i="3"/>
  <c r="C15" i="3"/>
  <c r="D15" i="3"/>
  <c r="E15" i="3"/>
  <c r="B13" i="3"/>
  <c r="B14" i="3"/>
  <c r="B15" i="3"/>
  <c r="F5" i="3"/>
  <c r="C4" i="3"/>
  <c r="D4" i="3"/>
  <c r="E4" i="3"/>
  <c r="C5" i="3"/>
  <c r="D5" i="3"/>
  <c r="E5" i="3"/>
  <c r="C6" i="3"/>
  <c r="D6" i="3"/>
  <c r="C8" i="3"/>
  <c r="D8" i="3"/>
  <c r="C10" i="3"/>
  <c r="B5" i="3"/>
  <c r="B6" i="3"/>
  <c r="B8" i="3"/>
  <c r="B10" i="3"/>
  <c r="B4" i="3"/>
  <c r="C3" i="3"/>
  <c r="D3" i="3"/>
  <c r="E3" i="3"/>
  <c r="F3" i="3"/>
  <c r="B3" i="3"/>
  <c r="C2" i="3"/>
  <c r="D2" i="3"/>
  <c r="E2" i="3"/>
  <c r="B2" i="3"/>
  <c r="A2" i="6"/>
  <c r="I58" i="5"/>
  <c r="H57" i="5"/>
  <c r="H56" i="5"/>
  <c r="H55" i="5"/>
  <c r="H54" i="5"/>
  <c r="H53" i="5"/>
  <c r="H52" i="5"/>
  <c r="D42" i="5"/>
  <c r="D41" i="5"/>
  <c r="D40" i="5"/>
  <c r="D39" i="5"/>
  <c r="D38" i="5"/>
  <c r="D37" i="5"/>
  <c r="D36" i="5"/>
  <c r="D35" i="5"/>
  <c r="D34" i="5"/>
  <c r="D33" i="5"/>
  <c r="D31" i="5"/>
  <c r="D30" i="5"/>
  <c r="D29" i="5"/>
  <c r="D28" i="5"/>
  <c r="D27" i="5"/>
  <c r="D26" i="5"/>
  <c r="D25" i="5"/>
  <c r="D24" i="5"/>
  <c r="D23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B6" i="5"/>
  <c r="B7" i="5" s="1"/>
  <c r="D5" i="5"/>
  <c r="B5" i="5"/>
  <c r="A5" i="6" s="1"/>
  <c r="D4" i="5"/>
  <c r="B4" i="5"/>
  <c r="A4" i="6" s="1"/>
  <c r="D3" i="5"/>
  <c r="B3" i="5"/>
  <c r="A3" i="6" s="1"/>
  <c r="D2" i="5"/>
  <c r="D43" i="5" s="1"/>
  <c r="B23" i="4"/>
  <c r="A2" i="4"/>
  <c r="F33" i="3"/>
  <c r="F30" i="3"/>
  <c r="F28" i="3"/>
  <c r="A2" i="3"/>
  <c r="O43" i="2"/>
  <c r="D43" i="2"/>
  <c r="O42" i="2"/>
  <c r="D42" i="2"/>
  <c r="O41" i="2"/>
  <c r="D41" i="2"/>
  <c r="O40" i="2"/>
  <c r="D40" i="2"/>
  <c r="O39" i="2"/>
  <c r="D39" i="2"/>
  <c r="O38" i="2"/>
  <c r="D38" i="2"/>
  <c r="O37" i="2"/>
  <c r="D37" i="2"/>
  <c r="O36" i="2"/>
  <c r="D36" i="2"/>
  <c r="O33" i="2"/>
  <c r="D33" i="2"/>
  <c r="O30" i="2"/>
  <c r="D30" i="2"/>
  <c r="O29" i="2"/>
  <c r="D29" i="2"/>
  <c r="O28" i="2"/>
  <c r="D28" i="2"/>
  <c r="O27" i="2"/>
  <c r="D27" i="2"/>
  <c r="O26" i="2"/>
  <c r="D26" i="2"/>
  <c r="O25" i="2"/>
  <c r="D25" i="2"/>
  <c r="O24" i="2"/>
  <c r="D24" i="2"/>
  <c r="O23" i="2"/>
  <c r="O22" i="2"/>
  <c r="D22" i="2"/>
  <c r="O21" i="2"/>
  <c r="D21" i="2"/>
  <c r="O20" i="2"/>
  <c r="D20" i="2"/>
  <c r="O19" i="2"/>
  <c r="D19" i="2"/>
  <c r="O18" i="2"/>
  <c r="D18" i="2"/>
  <c r="O17" i="2"/>
  <c r="D17" i="2"/>
  <c r="O16" i="2"/>
  <c r="D16" i="2"/>
  <c r="O15" i="2"/>
  <c r="D15" i="2"/>
  <c r="O14" i="2"/>
  <c r="D14" i="2"/>
  <c r="O13" i="2"/>
  <c r="D13" i="2"/>
  <c r="O12" i="2"/>
  <c r="D12" i="2"/>
  <c r="O11" i="2"/>
  <c r="D11" i="2"/>
  <c r="O10" i="2"/>
  <c r="D10" i="2"/>
  <c r="O9" i="2"/>
  <c r="D9" i="2"/>
  <c r="O8" i="2"/>
  <c r="D8" i="2"/>
  <c r="O7" i="2"/>
  <c r="D7" i="2"/>
  <c r="O6" i="2"/>
  <c r="D6" i="2"/>
  <c r="O5" i="2"/>
  <c r="D5" i="2"/>
  <c r="O4" i="2"/>
  <c r="D4" i="2"/>
  <c r="B4" i="2"/>
  <c r="A3" i="4" s="1"/>
  <c r="O3" i="2"/>
  <c r="D3" i="2"/>
  <c r="D29" i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3" i="1"/>
  <c r="B4" i="1" s="1"/>
  <c r="B5" i="1" s="1"/>
  <c r="B6" i="1" s="1"/>
  <c r="B7" i="1" s="1"/>
  <c r="B8" i="1" s="1"/>
  <c r="B9" i="1" s="1"/>
  <c r="B10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3" i="1" s="1"/>
  <c r="B24" i="1" s="1"/>
  <c r="B25" i="1" s="1"/>
  <c r="B26" i="1" s="1"/>
  <c r="B27" i="1" s="1"/>
  <c r="B28" i="1" s="1"/>
  <c r="B29" i="1" s="1"/>
  <c r="B30" i="1" s="1"/>
  <c r="B31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D2" i="1"/>
  <c r="O44" i="2" l="1"/>
  <c r="D44" i="2"/>
  <c r="A7" i="6"/>
  <c r="B8" i="5"/>
  <c r="A6" i="6"/>
  <c r="B5" i="2"/>
  <c r="A3" i="3"/>
  <c r="B6" i="2" l="1"/>
  <c r="A4" i="4"/>
  <c r="A4" i="3"/>
  <c r="B9" i="5"/>
  <c r="A8" i="6"/>
  <c r="A9" i="6" l="1"/>
  <c r="B10" i="5"/>
  <c r="A5" i="4"/>
  <c r="A5" i="3"/>
  <c r="B7" i="2"/>
  <c r="A6" i="3" l="1"/>
  <c r="B8" i="2"/>
  <c r="A6" i="4"/>
  <c r="A10" i="6"/>
  <c r="B12" i="5"/>
  <c r="A12" i="6" l="1"/>
  <c r="B13" i="5"/>
  <c r="A7" i="4"/>
  <c r="B9" i="2"/>
  <c r="A7" i="3"/>
  <c r="A8" i="4" l="1"/>
  <c r="B10" i="2"/>
  <c r="A8" i="3"/>
  <c r="B14" i="5"/>
  <c r="A13" i="6"/>
  <c r="A14" i="6" l="1"/>
  <c r="B15" i="5"/>
  <c r="B11" i="2"/>
  <c r="A9" i="3"/>
  <c r="A9" i="4"/>
  <c r="A10" i="3" l="1"/>
  <c r="B13" i="2"/>
  <c r="A10" i="4"/>
  <c r="A15" i="6"/>
  <c r="B16" i="5"/>
  <c r="B17" i="5" l="1"/>
  <c r="A16" i="6"/>
  <c r="B14" i="2"/>
  <c r="A12" i="4"/>
  <c r="A12" i="3"/>
  <c r="A13" i="3" l="1"/>
  <c r="B15" i="2"/>
  <c r="A13" i="4"/>
  <c r="B18" i="5"/>
  <c r="A17" i="6"/>
  <c r="A18" i="6" l="1"/>
  <c r="B19" i="5"/>
  <c r="A14" i="3"/>
  <c r="A14" i="4"/>
  <c r="B16" i="2"/>
  <c r="A15" i="4" l="1"/>
  <c r="B17" i="2"/>
  <c r="A15" i="3"/>
  <c r="B20" i="5"/>
  <c r="A19" i="6"/>
  <c r="A20" i="6" l="1"/>
  <c r="B21" i="5"/>
  <c r="A16" i="3"/>
  <c r="A16" i="4"/>
  <c r="B18" i="2"/>
  <c r="B19" i="2" l="1"/>
  <c r="A17" i="4"/>
  <c r="A17" i="3"/>
  <c r="B23" i="5"/>
  <c r="A21" i="6"/>
  <c r="A23" i="6" l="1"/>
  <c r="B24" i="5"/>
  <c r="A18" i="3"/>
  <c r="A18" i="4"/>
  <c r="B20" i="2"/>
  <c r="A19" i="4" l="1"/>
  <c r="A19" i="3"/>
  <c r="B21" i="2"/>
  <c r="A24" i="6"/>
  <c r="B25" i="5"/>
  <c r="B26" i="5" l="1"/>
  <c r="A25" i="6"/>
  <c r="B22" i="2"/>
  <c r="A20" i="4"/>
  <c r="A20" i="3"/>
  <c r="A21" i="4" l="1"/>
  <c r="A21" i="3"/>
  <c r="B24" i="2"/>
  <c r="B27" i="5"/>
  <c r="A26" i="6"/>
  <c r="A27" i="6" l="1"/>
  <c r="B28" i="5"/>
  <c r="A23" i="4"/>
  <c r="A23" i="3"/>
  <c r="B25" i="2"/>
  <c r="A24" i="3" l="1"/>
  <c r="B26" i="2"/>
  <c r="A24" i="4"/>
  <c r="A28" i="6"/>
  <c r="B29" i="5"/>
  <c r="B30" i="5" l="1"/>
  <c r="A29" i="6"/>
  <c r="B27" i="2"/>
  <c r="A25" i="3"/>
  <c r="A25" i="4"/>
  <c r="A26" i="3" l="1"/>
  <c r="B28" i="2"/>
  <c r="A26" i="4"/>
  <c r="B31" i="5"/>
  <c r="A30" i="6"/>
  <c r="A31" i="6" l="1"/>
  <c r="B33" i="5"/>
  <c r="A27" i="4"/>
  <c r="B29" i="2"/>
  <c r="A27" i="3"/>
  <c r="A28" i="3" l="1"/>
  <c r="A28" i="4"/>
  <c r="B30" i="2"/>
  <c r="B34" i="5"/>
  <c r="A33" i="6"/>
  <c r="A34" i="6" l="1"/>
  <c r="B35" i="5"/>
  <c r="B31" i="2"/>
  <c r="A29" i="3"/>
  <c r="A29" i="4"/>
  <c r="A30" i="4" l="1"/>
  <c r="A30" i="3"/>
  <c r="B32" i="2"/>
  <c r="B36" i="5"/>
  <c r="A35" i="6"/>
  <c r="A36" i="6" l="1"/>
  <c r="B37" i="5"/>
  <c r="A31" i="4"/>
  <c r="B34" i="2"/>
  <c r="A31" i="3"/>
  <c r="A33" i="3" l="1"/>
  <c r="A33" i="4"/>
  <c r="B35" i="2"/>
  <c r="A37" i="6"/>
  <c r="B38" i="5"/>
  <c r="B39" i="5" l="1"/>
  <c r="A38" i="6"/>
  <c r="A34" i="3"/>
  <c r="B36" i="2"/>
  <c r="A34" i="4"/>
  <c r="A35" i="4" l="1"/>
  <c r="A35" i="3"/>
  <c r="B37" i="2"/>
  <c r="B40" i="5"/>
  <c r="B41" i="5" l="1"/>
  <c r="B42" i="5" s="1"/>
  <c r="A36" i="4"/>
  <c r="A36" i="3"/>
  <c r="B38" i="2"/>
  <c r="A37" i="3" l="1"/>
  <c r="B39" i="2"/>
  <c r="A37" i="4"/>
  <c r="A38" i="3" l="1"/>
  <c r="A38" i="4"/>
  <c r="B40" i="2"/>
  <c r="B41" i="2" l="1"/>
  <c r="B42" i="2" l="1"/>
  <c r="B43" i="2" s="1"/>
</calcChain>
</file>

<file path=xl/sharedStrings.xml><?xml version="1.0" encoding="utf-8"?>
<sst xmlns="http://schemas.openxmlformats.org/spreadsheetml/2006/main" count="2235" uniqueCount="920">
  <si>
    <t>Week of</t>
  </si>
  <si>
    <t>Tuesday</t>
  </si>
  <si>
    <t>Wednesday</t>
  </si>
  <si>
    <t>Thursday</t>
  </si>
  <si>
    <t>Thursday Alt</t>
  </si>
  <si>
    <t>no class</t>
  </si>
  <si>
    <t>holidays</t>
  </si>
  <si>
    <t>Swot vac</t>
  </si>
  <si>
    <t>Monday</t>
  </si>
  <si>
    <t>Monday Alt</t>
  </si>
  <si>
    <t>Friday</t>
  </si>
  <si>
    <t>JIM</t>
  </si>
  <si>
    <t>EVA</t>
  </si>
  <si>
    <t>When</t>
  </si>
  <si>
    <t>Periods</t>
  </si>
  <si>
    <t>M</t>
  </si>
  <si>
    <t>T</t>
  </si>
  <si>
    <t>W</t>
  </si>
  <si>
    <t>F</t>
  </si>
  <si>
    <t>A</t>
  </si>
  <si>
    <t>No classes</t>
  </si>
  <si>
    <t>Founders Day Assembly</t>
  </si>
  <si>
    <t>1A.1 free-body diagrams &amp; net force</t>
  </si>
  <si>
    <t>1A.2 F=ma calculations</t>
  </si>
  <si>
    <t>1A.3 action-reaction pairs &amp; 1B.1 centripetal force/accel direction</t>
  </si>
  <si>
    <t>Summer work</t>
  </si>
  <si>
    <t>No class</t>
  </si>
  <si>
    <t>1A [2.5p] Newton's laws</t>
  </si>
  <si>
    <t>1A.1: Apply Newton's first law to draw free-body diagrams and determine if net force acting [1p]</t>
  </si>
  <si>
    <t>B</t>
  </si>
  <si>
    <t>Swim</t>
  </si>
  <si>
    <t>1B.2 Fnet=mv²/r, a=v²/r</t>
  </si>
  <si>
    <t>1B.3 banked track FBDs &amp; 1B.4 normal force as Fc on banks</t>
  </si>
  <si>
    <t>1B.5 Fnet=mg tan θ</t>
  </si>
  <si>
    <t>1B.6 vertical circular FBDs &amp; 1B.7 N/T &amp; Fc equations (vertical)</t>
  </si>
  <si>
    <t>1A.2: Apply Newton's second law (Fnet = ma) to calculate acceleration or forces [1p]</t>
  </si>
  <si>
    <t>1B.8 v=2πr/T, T=1/f &amp; 1C.1 projectile path &amp; air resistance</t>
  </si>
  <si>
    <t>1C.2 projectile component calcs</t>
  </si>
  <si>
    <t>2A.1 W=Fs cos θ &amp; 2A.2 work needs parallel force</t>
  </si>
  <si>
    <t>2A.3 work from F-s graph &amp; 2A.4 energy conservation</t>
  </si>
  <si>
    <t>2A.5 Ek=½mv², Eg=mgΔh</t>
  </si>
  <si>
    <t>1A.3 action-reaction pairs</t>
  </si>
  <si>
    <t>1A.3: Apply Newton's third law to identify action–reaction force pairs [0.5p]</t>
  </si>
  <si>
    <t>2A.6 Ek↔Eg transformations</t>
  </si>
  <si>
    <t>2B.1 p=mv &amp; 2B.2 momentum conservation</t>
  </si>
  <si>
    <t>2B.3 elastic vs inelastic</t>
  </si>
  <si>
    <t>2B.4 I=Δp=mΔv=FΔt &amp; 2B.5 impulse from F-t graph</t>
  </si>
  <si>
    <t>1B [5.25p] Circular motion</t>
  </si>
  <si>
    <t>1B.1 centripetal force/accel direction</t>
  </si>
  <si>
    <t>1B.1: Understand centripetal force and acceleration direction in uniform circular motion [0.5p]</t>
  </si>
  <si>
    <t>2C.1 k &amp; Es from F-x graphs &amp; 2C.2 F=–kx, Es=½kx²</t>
  </si>
  <si>
    <t>2C.3 spring energy transforms &amp; 2C.4 oscillating spring energy &amp; 2C.5 mg=kx equilibrium</t>
  </si>
  <si>
    <t>Catchup / Assessment</t>
  </si>
  <si>
    <t>Luna Park</t>
  </si>
  <si>
    <t>1B.2: Apply formulas Fnet = mv²/r and a = v²/r for horizontal circular motion [1p]</t>
  </si>
  <si>
    <t>Labour Day</t>
  </si>
  <si>
    <t>3A.1 g-field shape &amp; monopole &amp; 3A.2 inverse square (gravity)</t>
  </si>
  <si>
    <t>3A.3 g=GM/r², Fg=Gm₁m₂/r²</t>
  </si>
  <si>
    <t>4A.1 electric field model &amp; 4A.2 E-field comparisons</t>
  </si>
  <si>
    <t>3B.1 Eg=mgΔh &amp; 3B.2 GPE from graphs</t>
  </si>
  <si>
    <t>1B.3 banked track FBDs</t>
  </si>
  <si>
    <t>1B.3: Draw free-body diagrams for vehicles on banked tracks [0.5p]</t>
  </si>
  <si>
    <t>3C.1 Fg &amp; FN for satellites &amp; 3C.2 a=v²/r=4π²r/T²</t>
  </si>
  <si>
    <t>4A.3 E-field shape &amp; direction &amp; 4A.4 inverse square (electric)</t>
  </si>
  <si>
    <t>4A.5 PE changes (qualitative) &amp; 4A.6 static/changing, uniform/non</t>
  </si>
  <si>
    <t>4A.7 E=kQ/r², E=V/d</t>
  </si>
  <si>
    <t>1B.4 normal force as Fc on banks</t>
  </si>
  <si>
    <t>1B.4: Explain horizontal component of normal force as centripetal force on frictionless banked tracks [0.5p]</t>
  </si>
  <si>
    <t>SACU3AOS1 Monday B Afternoon</t>
  </si>
  <si>
    <t>VCE Formal</t>
  </si>
  <si>
    <t>4A.8 F=kq₁q₂/r²</t>
  </si>
  <si>
    <t>4A.9 W=qV</t>
  </si>
  <si>
    <t>4A.10 F=qE</t>
  </si>
  <si>
    <t>4B.1 magnetic field model &amp; 4B.2 B-field comparisons</t>
  </si>
  <si>
    <t>1B.5: Apply formula Fnet = mg tan θ for banked circular motion [1p]</t>
  </si>
  <si>
    <t>Aths</t>
  </si>
  <si>
    <t>Good Friday</t>
  </si>
  <si>
    <t>4B.3 B-fields: magnets/wires/solenoids &amp; 4B.4 field interactions</t>
  </si>
  <si>
    <t>4B.5 F=nIlB</t>
  </si>
  <si>
    <t>4B.6 DC motor operation &amp; 4B.7 motor torque factors</t>
  </si>
  <si>
    <t>4B.8 F=qvB, qvB=mv²/r</t>
  </si>
  <si>
    <t>4B.9 accelerators &amp; UCM</t>
  </si>
  <si>
    <t>1B.6 vertical circular FBDs</t>
  </si>
  <si>
    <t>1B.6: Draw free-body diagrams for vertical circular motion [0.5p]</t>
  </si>
  <si>
    <t>1B.7 N/T &amp; Fc equations (vertical)</t>
  </si>
  <si>
    <t>1B.7: Write equations relating normal/tension force to centripetal force in vertical circular motion [0.75p]</t>
  </si>
  <si>
    <t>Secondary Assembly</t>
  </si>
  <si>
    <t>5A.1 PV cell DC production &amp; 5A.2 PV energy transforms</t>
  </si>
  <si>
    <t>5A.3 inverter function &amp; 5A.4 series/parallel PV panels</t>
  </si>
  <si>
    <t>5B.1 induced emf situations &amp; 5B.2 ΦB=B⊥A, Wb units</t>
  </si>
  <si>
    <t>1B.8 v=2πr/T, T=1/f</t>
  </si>
  <si>
    <t>1B.8: Solve problems using v = 2πr/T and T = 1/f for vertical circular motion [0.5p]</t>
  </si>
  <si>
    <t>5B.3 EM induction explanation</t>
  </si>
  <si>
    <t>5B.4 ε=−NΔΦ/Δt</t>
  </si>
  <si>
    <t>5B.5 Lenz's law</t>
  </si>
  <si>
    <t>5B.6 induced I needs circuit &amp; 5C.1 DC generator operation</t>
  </si>
  <si>
    <t>5C.2 split ring commutator role &amp; 5C.3 DC V-t graph shape</t>
  </si>
  <si>
    <t>1C [1p] Projectile motion</t>
  </si>
  <si>
    <t>1C.1 projectile path &amp; air resistance</t>
  </si>
  <si>
    <t>1C.1: Describe projectile flight path and effects of air resistance [0.25p]</t>
  </si>
  <si>
    <t>SACU3AOS2 Monday B Afternoon</t>
  </si>
  <si>
    <t>5C.4 V-t graphs vs coil number &amp; 5D.1 AC generator operation</t>
  </si>
  <si>
    <t>5D.2 slip rings role &amp; 5D.3 sinusoidal V-t analysis</t>
  </si>
  <si>
    <t>6A.1 Vrms=Vp/√2</t>
  </si>
  <si>
    <t>6A.2 Irms=Ip/√2 &amp; 6A.3 P=VrmsIrms</t>
  </si>
  <si>
    <t>1C.2: Solve projectile motion questions using vertical/horizontal components [0.75p]</t>
  </si>
  <si>
    <t>6B.1 transformers &amp; flux &amp; 6B.2 step-up/step-down</t>
  </si>
  <si>
    <t>6B.3 ideal vs real transformers &amp; 6B.4 N₁/N₂=V₁/V₂=I₂/I₁</t>
  </si>
  <si>
    <t>6B.5 turns ratio calcs</t>
  </si>
  <si>
    <t>6C.1 P=I²R, E=I²Rt</t>
  </si>
  <si>
    <t>6C.2 transmission losses</t>
  </si>
  <si>
    <t>2A [4.25p] Work and energy</t>
  </si>
  <si>
    <t>2A.1 W=Fs cos θ</t>
  </si>
  <si>
    <t>2A.1: Apply formula W = Fs cos θ [0.5p]</t>
  </si>
  <si>
    <t>2A.2 work needs parallel force</t>
  </si>
  <si>
    <t>2A.2: Understand work requires force parallel to motion [0.25p]</t>
  </si>
  <si>
    <t>Student free day</t>
  </si>
  <si>
    <t>7A.1 accel charges → EM waves &amp; 7A.2 EM waves: E⊥B at c</t>
  </si>
  <si>
    <t>7A.3 superposition → standing waves</t>
  </si>
  <si>
    <t>7A.4 standing wave analysis</t>
  </si>
  <si>
    <t>7A.5 diffraction &amp; gap width &amp; 7A.6 λ/w ratio &amp; imaging</t>
  </si>
  <si>
    <t>7A.7 Young's double slit</t>
  </si>
  <si>
    <t>2A.3 work from F-s graph</t>
  </si>
  <si>
    <t>2A.3: Calculate work as area under force–displacement graph [0.5p]</t>
  </si>
  <si>
    <t>SACU3AOS3 Monday B Afternoon</t>
  </si>
  <si>
    <t>7A.8 path diff: nλ, (n+½)λ</t>
  </si>
  <si>
    <t>7A.9 Δx=λL/d</t>
  </si>
  <si>
    <t>7B.1 E=hf=hc/λ</t>
  </si>
  <si>
    <t>7B.2 photoelectric evidence</t>
  </si>
  <si>
    <t>2A.4 energy conservation</t>
  </si>
  <si>
    <t>2A.4: Understand energy is conserved [0.5p]</t>
  </si>
  <si>
    <t>King's Birthday</t>
  </si>
  <si>
    <t>7B.3 photoelectric graphs</t>
  </si>
  <si>
    <t>8A.1 electron diffraction patterns</t>
  </si>
  <si>
    <t>8A.2 diffraction → wave nature</t>
  </si>
  <si>
    <t>2A.5: Apply formulas for kinetic and gravitational potential energy (Ek = ½mv², Eg = mgΔh) [1p]</t>
  </si>
  <si>
    <t>GAT</t>
  </si>
  <si>
    <t xml:space="preserve">10 11 </t>
  </si>
  <si>
    <t>8A.3 photon vs electron patterns</t>
  </si>
  <si>
    <t>8A.4 λ=h/p</t>
  </si>
  <si>
    <t>8B.1 quantisation concepts &amp; 8B.2 p=h/λ</t>
  </si>
  <si>
    <t>8B.3 photon vs matter momentum &amp; 8B.4 emission spectra</t>
  </si>
  <si>
    <t>2A.6: Analyse energy transformations between Ek and Eg [1.5p]</t>
  </si>
  <si>
    <t>HPA</t>
  </si>
  <si>
    <t>8B.5 absorption spectra &amp; 8B.6 ΔE=hc/λ from spectra</t>
  </si>
  <si>
    <t>2B [3.75p] Momentum and impulse</t>
  </si>
  <si>
    <t>2B.1 p=mv</t>
  </si>
  <si>
    <t>2B.1: Apply formula p = mv for momentum [0.5p]</t>
  </si>
  <si>
    <t>2B.2 momentum conservation</t>
  </si>
  <si>
    <t>2B.2: Apply conservation of momentum to collisions [1p]</t>
  </si>
  <si>
    <t>8B.7 ΔE=hf transitions</t>
  </si>
  <si>
    <t>8B.8 single particle duality</t>
  </si>
  <si>
    <t>9A.1 inertial frames &amp; 9A.2 inertial vs non-inertial</t>
  </si>
  <si>
    <t>8B.5 absorption spectra</t>
  </si>
  <si>
    <t>8B.6 ΔE=hc/λ from spectra</t>
  </si>
  <si>
    <t>2B.3: Determine if collisions are elastic or inelastic [0.75p]</t>
  </si>
  <si>
    <t>9A.3 relativity concept</t>
  </si>
  <si>
    <t>9A.4 SR postulates</t>
  </si>
  <si>
    <t>9A.5 Michelson-Morley &amp; aether &amp; 9A.6 SR vs classical</t>
  </si>
  <si>
    <t>9B.1 proper time t₀ &amp; 9B.2 dilated time t</t>
  </si>
  <si>
    <t>9B.3 proper length L₀ &amp; 9B.4 identify proper length</t>
  </si>
  <si>
    <t>2B.4 I=Δp=mΔv=FΔt</t>
  </si>
  <si>
    <t>2B.4: Apply impulse formula I = Δp = mΔv = FavΔt [0.75p]</t>
  </si>
  <si>
    <t>9B.5 contraction direction</t>
  </si>
  <si>
    <t>9B.6 L=L₀/γ, t=t₀γ</t>
  </si>
  <si>
    <t>9B.7 accelerators &amp; l.c. &amp; 9B.8 GPS &amp; time dilation</t>
  </si>
  <si>
    <t>9B.9 speed effects on t,L &amp; 9C.1 muon t dilation (Earth)</t>
  </si>
  <si>
    <t>2B.5 impulse from F-t graph</t>
  </si>
  <si>
    <t>2B.5: Calculate impulse as area under force–time graph [0.75p]</t>
  </si>
  <si>
    <t xml:space="preserve">X Country </t>
  </si>
  <si>
    <t>9C.2 muon l.c. (muon frame) &amp; 9D.1 E=mc²</t>
  </si>
  <si>
    <t>9D.2 Etot=γmc², Ek=(γ–1)mc²</t>
  </si>
  <si>
    <t>9D.3 ΔE=Δmc² &amp; 9D.4 accelerators → new elements &amp; 9D.5 γ vs v graph</t>
  </si>
  <si>
    <t>2C [2.25p] Springs</t>
  </si>
  <si>
    <t>2C.1 k &amp; Es from F-x graphs</t>
  </si>
  <si>
    <t>2C.1: Understand spring constant and elastic potential energy from force–extension graphs [0.5p]</t>
  </si>
  <si>
    <t>e</t>
  </si>
  <si>
    <t>SACU4AOS1 Monday B Afternoon</t>
  </si>
  <si>
    <t>Investigation planning</t>
  </si>
  <si>
    <t>2C.2 F=–kx, Es=½kx²</t>
  </si>
  <si>
    <t>2C.2: Apply Hooke's law (F = –kx) and elastic PE formula (Es = ½kx²) [0.5p]</t>
  </si>
  <si>
    <t>9 Periods SAC Investigation SACU4AOS2</t>
  </si>
  <si>
    <t>Investigation</t>
  </si>
  <si>
    <t>2C.3 spring energy transforms</t>
  </si>
  <si>
    <t>2C.3: Analyse energy transformations in spring systems [0.5p]</t>
  </si>
  <si>
    <t>2C.4 oscillating spring energy</t>
  </si>
  <si>
    <t>2C.4: Describe energy transformations in oscillating springs [0.25p]</t>
  </si>
  <si>
    <t>Practice Exams</t>
  </si>
  <si>
    <t>2C.5 mg=kx equilibrium</t>
  </si>
  <si>
    <t>2C.5: Apply mg = kx for vertical spring equilibrium [0.5p]</t>
  </si>
  <si>
    <t>3A [2p] Gravity and gravitational fields</t>
  </si>
  <si>
    <t>3A.1 g-field shape &amp; monopole</t>
  </si>
  <si>
    <t>3A.1: Understand gravitational field direction, shape, and monopole nature [0.5p]</t>
  </si>
  <si>
    <t>3A.2 inverse square (gravity)</t>
  </si>
  <si>
    <t>3A.2: Understand inverse square law for gravitational fields about point masses [0.5p]</t>
  </si>
  <si>
    <t>3A.3: Apply g = GM/r² and Fg = Gm₁m₂/r² [1p]</t>
  </si>
  <si>
    <t>3B [1p] Gravitational potential energy</t>
  </si>
  <si>
    <t>3B.1 Eg=mgΔh</t>
  </si>
  <si>
    <t>3B.1: Determine GPE changes using Eg = mgΔh [0.5p]</t>
  </si>
  <si>
    <t>12 Val</t>
  </si>
  <si>
    <t>3B.2 GPE from graphs</t>
  </si>
  <si>
    <t>3B.2: Calculate GPE from area under force–distance and field–distance graphs [0.5p]</t>
  </si>
  <si>
    <t>3C [1p] Orbiting satellites</t>
  </si>
  <si>
    <t>3C.1 Fg &amp; FN for satellites</t>
  </si>
  <si>
    <t>3C.1: Apply concepts of Fg and FN for satellites in orbit [0.5p]</t>
  </si>
  <si>
    <t>Cup Weekend</t>
  </si>
  <si>
    <t>3C.2 a=v²/r=4π²r/T²</t>
  </si>
  <si>
    <t>3C.2: Model satellite motion using a = v²/r = 4π²r/T² [0.5p]</t>
  </si>
  <si>
    <t>10 11 Exams</t>
  </si>
  <si>
    <t>4A [7p] Electric fields and forces</t>
  </si>
  <si>
    <t>4A.1 electric field model</t>
  </si>
  <si>
    <t>4A.1: Describe electricity using field model [0.5p]</t>
  </si>
  <si>
    <t>4A.2 E-field comparisons</t>
  </si>
  <si>
    <t>4A.2: Compare electric fields (direction, shapes, dipoles/monopoles) [0.5p]</t>
  </si>
  <si>
    <t>VCE Camp</t>
  </si>
  <si>
    <t>4A.3 E-field shape &amp; direction</t>
  </si>
  <si>
    <t>4A.3: Describe electric fields about charges (direction and shape) [0.5p]</t>
  </si>
  <si>
    <t>Students Cease</t>
  </si>
  <si>
    <t>4A.4 inverse square (electric)</t>
  </si>
  <si>
    <t>4A.4: Use inverse square law for electric field magnitude [0.5p]</t>
  </si>
  <si>
    <t>4A.5 PE changes (qualitative)</t>
  </si>
  <si>
    <t>4A.5: Determine PE changes for point charges in fields (qualitative) [0.75p]</t>
  </si>
  <si>
    <t>4A.6 static/changing, uniform/non</t>
  </si>
  <si>
    <t>4A.6: Identify fields as static/changing, uniform/non-uniform [0.5p]</t>
  </si>
  <si>
    <t>AOS</t>
  </si>
  <si>
    <t>Learning points</t>
  </si>
  <si>
    <t>4A.7: Calculate field strength (E = kQ/r² for point charges, E = V/d for parallel plates) [1p]</t>
  </si>
  <si>
    <t>Physics</t>
  </si>
  <si>
    <t>U3AOS1</t>
  </si>
  <si>
    <t>SAC TEST</t>
  </si>
  <si>
    <t>Period 3</t>
  </si>
  <si>
    <t>U3 AOS1</t>
  </si>
  <si>
    <t>4A.8: Apply Coulomb's law (F = kq₁q₂/r²) [1p]</t>
  </si>
  <si>
    <t>U3AOS2</t>
  </si>
  <si>
    <t>Structured Questions</t>
  </si>
  <si>
    <t>U3 AOS2</t>
  </si>
  <si>
    <t>4A.9: Calculate work done in uniform electric field (W = qV) [0.75p]</t>
  </si>
  <si>
    <t>U3AOS3</t>
  </si>
  <si>
    <t>Data analysis</t>
  </si>
  <si>
    <t>U3 AOS3</t>
  </si>
  <si>
    <t>4A.10: Calculate forces on charged particles (F = qE) [1p]</t>
  </si>
  <si>
    <t>U4AOS1</t>
  </si>
  <si>
    <t>U4 AOS1</t>
  </si>
  <si>
    <t>4B [5.5p] Magnetic fields and forces</t>
  </si>
  <si>
    <t>4B.1 magnetic field model</t>
  </si>
  <si>
    <t>4B.1: Describe magnetism using field model [0.5p]</t>
  </si>
  <si>
    <t>U4AOS2</t>
  </si>
  <si>
    <t>SAC Scientific investigation</t>
  </si>
  <si>
    <t>9 Periods</t>
  </si>
  <si>
    <t>U4 AOS2</t>
  </si>
  <si>
    <t>—</t>
  </si>
  <si>
    <t>4B.2 B-field comparisons</t>
  </si>
  <si>
    <t>4B.2: Compare magnetic fields (shapes, directions, dipoles, uniform/non-uniform) [0.5p]</t>
  </si>
  <si>
    <t>Total</t>
  </si>
  <si>
    <t>4B.3 B-fields: magnets/wires/solenoids</t>
  </si>
  <si>
    <t>4B.3: Apply vector field model to bar magnets, wires, loops, solenoids [0.75p]</t>
  </si>
  <si>
    <t>4B.4 field interactions</t>
  </si>
  <si>
    <t>4B.4: Describe interaction of two fields (attraction/repulsion) [0.25p]</t>
  </si>
  <si>
    <t>4B.5: Apply force on current-carrying conductor (F = nIlB) [0.75p]</t>
  </si>
  <si>
    <t>4B.6 DC motor operation</t>
  </si>
  <si>
    <t>4B.6: Explain operation of simple DC motors with split ring commutators [0.75p]</t>
  </si>
  <si>
    <t>4B.7 motor torque factors</t>
  </si>
  <si>
    <t>4B.7: Investigate effects of current, field, and loops on motor torque (qualitative) [0.5p]</t>
  </si>
  <si>
    <t>4B.8: Analyse magnetic force on charged particles (F = qvB, radius qvB = mv²/r) [1p]</t>
  </si>
  <si>
    <t>4B.9: Model particle accelerators using uniform circular motion [0.5p]</t>
  </si>
  <si>
    <t>5A [2p] Solar panels</t>
  </si>
  <si>
    <t>5A.1 PV cell DC production</t>
  </si>
  <si>
    <t>5A.1: Describe DC voltage production in photovoltaic cells [0.5p]</t>
  </si>
  <si>
    <t>5A.2 PV energy transforms</t>
  </si>
  <si>
    <t>5A.2: Discuss energy transformations in photovoltaic cells [0.5p]</t>
  </si>
  <si>
    <t>5A.3 inverter function</t>
  </si>
  <si>
    <t>5A.3: Describe inverter function (DC to AC conversion) [0.5p]</t>
  </si>
  <si>
    <t>5A.4 series/parallel PV panels</t>
  </si>
  <si>
    <t>5A.4: Analyse series/parallel connections of photovoltaic panels [0.5p]</t>
  </si>
  <si>
    <t>5B [5p] Generating emf by varying magnetic flux</t>
  </si>
  <si>
    <t>5B.1 induced emf situations</t>
  </si>
  <si>
    <t>5B.1: Recognise situations producing induced emf (electromagnetic induction) [0.5p]</t>
  </si>
  <si>
    <t>5B.2 ΦB=B⊥A, Wb units</t>
  </si>
  <si>
    <t>5B.2: Calculate magnetic flux (ΦB = B⊥A) and understand units (Wb) [0.75p]</t>
  </si>
  <si>
    <t>5B.3: Explain electromagnetic induction via changing magnetic flux [1p]</t>
  </si>
  <si>
    <t>5B.4: Apply Faraday's law (ε = −NΔΦ_B/Δt) [1.5p]</t>
  </si>
  <si>
    <t>5B.5: Apply Lenz's law to predict direction of induced emf/current [0.75p]</t>
  </si>
  <si>
    <t>5B.6 induced I needs circuit</t>
  </si>
  <si>
    <t>5B.6: Explain induced current requires complete circuit [0.5p]</t>
  </si>
  <si>
    <t>5C [1.75p] DC generators</t>
  </si>
  <si>
    <t>5C.1 DC generator operation</t>
  </si>
  <si>
    <t>5C.1: Describe operation of simple DC generator with split ring commutator [0.5p]</t>
  </si>
  <si>
    <t>5C.2 split ring commutator role</t>
  </si>
  <si>
    <t>5C.2: Explain role of split ring commutator in producing DC voltage [0.5p]</t>
  </si>
  <si>
    <t>5C.3 DC V-t graph shape</t>
  </si>
  <si>
    <t>5C.3: Describe shape of DC voltage-time graph [0.25p]</t>
  </si>
  <si>
    <t>5C.4 V-t graphs vs coil number</t>
  </si>
  <si>
    <t>5C.4: Compare voltage-time graphs for different numbers of coils [0.5p]</t>
  </si>
  <si>
    <t>5D [1.5p] AC generators with slip rings</t>
  </si>
  <si>
    <t>5D.1 AC generator operation</t>
  </si>
  <si>
    <t>5D.1: Describe operation of AC generator (alternator) with slip rings [0.5p]</t>
  </si>
  <si>
    <t>5D.2 slip rings role</t>
  </si>
  <si>
    <t>5D.2: Explain role of slip rings in producing AC voltage [0.5p]</t>
  </si>
  <si>
    <t>5D.3 sinusoidal V-t analysis</t>
  </si>
  <si>
    <t>5D.3: Analyse sinusoidal voltage-time graph from AC generator [0.5p]</t>
  </si>
  <si>
    <t>6A [2p] Peak and rms values of AC</t>
  </si>
  <si>
    <t>6A.1: Explain peak and peak-to-peak voltage (Vrms = Vp/√2) [0.75p]</t>
  </si>
  <si>
    <t>6A.2 Irms=Ip/√2</t>
  </si>
  <si>
    <t>6A.2: Explain peak and peak-to-peak current (Irms = Ip/√2) [0.75p]</t>
  </si>
  <si>
    <t>6A.3 P=VrmsIrms</t>
  </si>
  <si>
    <t>6A.3: Calculate power using AC rms values (P = VrmsIrms = VpIp/2) [0.5p]</t>
  </si>
  <si>
    <t>6B [3p] Transformers</t>
  </si>
  <si>
    <t>6B.1 transformers &amp; flux</t>
  </si>
  <si>
    <t>6B.1: Recognise transformers transfer power via varying magnetic flux [0.5p]</t>
  </si>
  <si>
    <t>6B.2 step-up/step-down</t>
  </si>
  <si>
    <t>6B.2: Explain transformer operation and step-up/step-down functions [0.5p]</t>
  </si>
  <si>
    <t>6B.3 ideal vs real transformers</t>
  </si>
  <si>
    <t>6B.3: Understand ideal transformers (Pin = Pout) vs. real transformers [0.5p]</t>
  </si>
  <si>
    <t>6B.4 N₁/N₂=V₁/V₂=I₂/I₁</t>
  </si>
  <si>
    <t>6B.4: Apply turns ratio formula (N₁/N₂ = V₁/V₂ = I₂/I₁) [1p]</t>
  </si>
  <si>
    <t>6B.5: Perform calculations with turns ratio, Ohm's law, and power formulas [0.5p]</t>
  </si>
  <si>
    <t>6C [1p] Minimising power transmission losses</t>
  </si>
  <si>
    <t>6C.1: Calculate power loss in wires (P = I²R, E = I²Rt) [0.5p]</t>
  </si>
  <si>
    <t>6C.2: Analyse power losses with/without transformers (Ploss = I²R) [0.5p]</t>
  </si>
  <si>
    <t>7A [5.5p] Wave-like properties of light</t>
  </si>
  <si>
    <t>7A.1 accel charges → EM waves</t>
  </si>
  <si>
    <t>7A.1: Explain accelerating charges produce electromagnetic waves [0.5p]</t>
  </si>
  <si>
    <t>7A.2 EM waves: E⊥B at c</t>
  </si>
  <si>
    <t>7A.2: Describe EM waves as perpendicular E and B fields travelling at c [0.5p]</t>
  </si>
  <si>
    <t>7A.3: Explain superposition creates standing waves [0.5p]</t>
  </si>
  <si>
    <t>7A.4: Analyse standing waves (speed, wavelength, nodes, antinodes) [0.75p]</t>
  </si>
  <si>
    <t>7A.5 diffraction &amp; gap width</t>
  </si>
  <si>
    <t>7A.5: Explain diffraction with different gap widths and frequencies [0.5p]</t>
  </si>
  <si>
    <t>7A.6 λ/w ratio &amp; imaging</t>
  </si>
  <si>
    <t>7A.6: Explain λ/w ratio effect on imaging limitations [0.5p]</t>
  </si>
  <si>
    <t>7A.7: Explain Young's double slit as evidence for wave nature of light [0.75p]</t>
  </si>
  <si>
    <t>7A.8: Explain interference patterns via path differences (nλ and (n+½)λ) [0.75p]</t>
  </si>
  <si>
    <t>7A.9: Apply formula Δx = λL/d for interference patterns [0.75p]</t>
  </si>
  <si>
    <t>7B [1.5p] Particle-like properties of light</t>
  </si>
  <si>
    <t>7B.1: Use formula E = hf = hc/λ for photon energy [0.5p]</t>
  </si>
  <si>
    <t>7B.2: Analyse photoelectric experiments as evidence for particle nature [0.75p]</t>
  </si>
  <si>
    <t>7B.3: Analyse photoelectric graphs (photocurrent vs. potential, KE vs. frequency) [0.25p]</t>
  </si>
  <si>
    <t>8A [2.5p] Matter as particles or waves</t>
  </si>
  <si>
    <t>8A.1: Recognise electron diffraction patterns [0.5p]</t>
  </si>
  <si>
    <t>8A.2: Understand diffraction patterns as evidence for wave nature of matter [0.75p]</t>
  </si>
  <si>
    <t>8A.3: Distinguish photon vs. electron diffraction patterns [0.5p]</t>
  </si>
  <si>
    <t>8A.4: Calculate de Broglie wavelength (λ = h/p) [0.75p]</t>
  </si>
  <si>
    <t>8B [4.25p] Similarities between light and matter</t>
  </si>
  <si>
    <t>8B.1 quantisation concepts</t>
  </si>
  <si>
    <t>8B.1: Discuss quantisation's role in understanding light and atoms [0.5p]</t>
  </si>
  <si>
    <t>8B.2 p=h/λ</t>
  </si>
  <si>
    <t>8B.2: Calculate photon momentum (p = h/λ) [0.5p]</t>
  </si>
  <si>
    <t>8B.3 photon vs matter momentum</t>
  </si>
  <si>
    <t>8B.3: Compare photon and matter momentum at same wavelength [0.25p]</t>
  </si>
  <si>
    <t>8B.4 emission spectra</t>
  </si>
  <si>
    <t>8B.4: Explain production of atomic emission line spectra [0.5p]</t>
  </si>
  <si>
    <t>8B.5: Explain formation of atomic absorption line spectra [0.5p]</t>
  </si>
  <si>
    <t>8B.6: Calculate photon energy from spectra (ΔE = hc/λ) [0.5p]</t>
  </si>
  <si>
    <t>8B.7: Analyse photon emission/absorption via energy state changes (ΔE = hf) [1p]</t>
  </si>
  <si>
    <t>8B.8: Interpret single photon/electron double slit as evidence for wave-particle duality [0.5p]</t>
  </si>
  <si>
    <t>9A [3p] What is relativity?</t>
  </si>
  <si>
    <t>9A.1 inertial frames</t>
  </si>
  <si>
    <t>9A.1: Discuss nature of inertial reference frames [0.5p]</t>
  </si>
  <si>
    <t>9A.2 inertial vs non-inertial</t>
  </si>
  <si>
    <t>9A.2: Identify inertial vs. non-inertial reference frames [0.5p]</t>
  </si>
  <si>
    <t>9A.3: Discuss the idea of relativity [0.5p]</t>
  </si>
  <si>
    <t>9A.4: Recall and apply two postulates of special relativity [0.75p]</t>
  </si>
  <si>
    <t>9A.5 Michelson-Morley &amp; aether</t>
  </si>
  <si>
    <t>9A.5: Evaluate Michelson-Morley experiment and null result re: aether [0.5p]</t>
  </si>
  <si>
    <t>9A.6 SR vs classical</t>
  </si>
  <si>
    <t>9A.6: Compare special relativity vs. classical physics predictions [0.25p]</t>
  </si>
  <si>
    <t>9B [5p] Time dilation and length contraction</t>
  </si>
  <si>
    <t>9B.1 proper time t₀</t>
  </si>
  <si>
    <t>9B.1: Define proper time (t₀) as time between events at same point in space [0.5p]</t>
  </si>
  <si>
    <t>9B.2 dilated time t</t>
  </si>
  <si>
    <t>9B.2: Identify dilated time interval (t) for events at different points [0.5p]</t>
  </si>
  <si>
    <t>9B.3 proper length L₀</t>
  </si>
  <si>
    <t>9B.3: Understand proper length (L₀) measured when stationary relative to object [0.5p]</t>
  </si>
  <si>
    <t>9B.4 identify proper length</t>
  </si>
  <si>
    <t>9B.4: Identify when length interval is proper length [0.25p]</t>
  </si>
  <si>
    <t>9B.5: Recall objects contract only in relative direction of travel [0.25p]</t>
  </si>
  <si>
    <t>9B.6: Apply formulas L = L₀/γ and t = t₀γ to various situations [1.5p]</t>
  </si>
  <si>
    <t>9B.7 accelerators &amp; l.c.</t>
  </si>
  <si>
    <t>9B.7: Explain particle accelerator design must account for length contraction [0.5p]</t>
  </si>
  <si>
    <t>9B.8 GPS &amp; time dilation</t>
  </si>
  <si>
    <t>9B.8: Explain GPS satellite time corrections for special relativity [0.5p]</t>
  </si>
  <si>
    <t>9B.9 speed effects on t,L</t>
  </si>
  <si>
    <t>9B.9: Understand effects of increasing speed on dilated time/contracted length [0.5p]</t>
  </si>
  <si>
    <t>9C [1p] Muon decay</t>
  </si>
  <si>
    <t>9C.1 muon t dilation (Earth)</t>
  </si>
  <si>
    <t>9C.1: Explain muon half-life dilation from Earth reference frame [0.5p]</t>
  </si>
  <si>
    <t>9C.2 muon l.c. (muon frame)</t>
  </si>
  <si>
    <t>9C.2: Explain length contraction from muon reference frame [0.5p]</t>
  </si>
  <si>
    <t>9D [2.5p] Mass and energy equivalence</t>
  </si>
  <si>
    <t>9D.1 E=mc²</t>
  </si>
  <si>
    <t>9D.1: Understand mass-energy equivalence (E = mc²) [0.5p]</t>
  </si>
  <si>
    <t>9D.2: Apply total energy (Etot = γmc²), rest energy (E₀ = mc²), KE formulas (Ek = (γ–1)mc²) [1p]</t>
  </si>
  <si>
    <t>9D.3 ΔE=Δmc²</t>
  </si>
  <si>
    <t>9D.3: Apply ΔE = Δmc² to nuclear reactions and particle accelerators [0.5p]</t>
  </si>
  <si>
    <t>9D.4 accelerators → new elements</t>
  </si>
  <si>
    <t>9D.4: Understand particle accelerators can produce new elements [0.25p]</t>
  </si>
  <si>
    <t>9D.5 γ vs v graph</t>
  </si>
  <si>
    <t>9D.5: Plot and interpret Lorentz factor (γ) vs. speed [0.25p]</t>
  </si>
  <si>
    <t>1A.1 wave motion examples; 1A.2 energy transfer no matter</t>
  </si>
  <si>
    <t>1A.3 transverse vs longitudinal</t>
  </si>
  <si>
    <t>1A.4 A, v, f, T, λ wave terms; 1A.5 λ from v (medium) &amp; f (source)</t>
  </si>
  <si>
    <t>1A Kinematics recap</t>
  </si>
  <si>
    <t>1B Forces recap</t>
  </si>
  <si>
    <t>1A.1 wave motion examples</t>
  </si>
  <si>
    <t>1A.1 Recognise wave motion and give examples</t>
  </si>
  <si>
    <t>1A.6 λ = v/f = vT calculations</t>
  </si>
  <si>
    <t>1B.1 EM waves transverse E&amp;M fields; 1B.2 Sun emits UV, visible, IR</t>
  </si>
  <si>
    <t>1B.3 EM spectrum λ &amp; f ranges; 1B.4 EM spectrum societal uses</t>
  </si>
  <si>
    <t>1C.1 ray model reflection/refraction; 1C.2 refractive index definition</t>
  </si>
  <si>
    <t>1C Inclined planes</t>
  </si>
  <si>
    <t>1D Connected bodies</t>
  </si>
  <si>
    <t>1E Basic circular motion</t>
  </si>
  <si>
    <t>1F Banked circular motion</t>
  </si>
  <si>
    <t>1A.2 energy transfer no matter</t>
  </si>
  <si>
    <t>1A.2 Understand that wave motion transfers energy without transferring matter</t>
  </si>
  <si>
    <t>1C.3 n₁v₁ = n₂v₂ equation</t>
  </si>
  <si>
    <t>1C.4 Snell's law practicals; 1C.5 Snell's law refraction calcs</t>
  </si>
  <si>
    <t>1C.6 ray model image formation</t>
  </si>
  <si>
    <t>1C.7 total internal reflection pracs; 1C.8 critical angle prediction</t>
  </si>
  <si>
    <t>1C.9 dispersion practicals</t>
  </si>
  <si>
    <t>1G Vertical circular motion</t>
  </si>
  <si>
    <t>1H Projectile motion</t>
  </si>
  <si>
    <t>1A.3 Distinguish between transverse and longitudinal waves</t>
  </si>
  <si>
    <t>1C.10 dispersion in prisms/lenses; 1C.11 rainbows &amp; mirages formation</t>
  </si>
  <si>
    <t>1C.12 Snell's law optical fibres</t>
  </si>
  <si>
    <t>2A.1 thermal energy = Ek + Ep; 2A.2 temp ↔ thermal energy</t>
  </si>
  <si>
    <t>2A.3 Celsius ↔ kelvin conversion; 2A.4 conduction/convection/radiation</t>
  </si>
  <si>
    <t>1I Momentum and impulse</t>
  </si>
  <si>
    <t>2A Kinetic energy, work and power</t>
  </si>
  <si>
    <t>2B Elastic and inelastic collisions</t>
  </si>
  <si>
    <t>2C Gravitational potential energy</t>
  </si>
  <si>
    <t>1A.4 A, v, f, T, λ wave terms</t>
  </si>
  <si>
    <t>1A.4 Use amplitude (A), speed (v), frequency (f), period (T) and wavelength (λ) to describe the motion of waves</t>
  </si>
  <si>
    <t>2A.5 specific heat capacity c</t>
  </si>
  <si>
    <t>2A.6 latent heat L definition; 2A.7 temp/state change practicals</t>
  </si>
  <si>
    <t>2A.8 thermal energy change analysis; 2A.9 Q = mcΔT calculations</t>
  </si>
  <si>
    <t>2A.10 Q = mL calculations</t>
  </si>
  <si>
    <t>2B.1 blackbody features</t>
  </si>
  <si>
    <t>Chapter 1 review</t>
  </si>
  <si>
    <t>Questions from Chapter 2A B C</t>
  </si>
  <si>
    <t>1A.5 λ from v (medium) &amp; f (source)</t>
  </si>
  <si>
    <t>1A.5 Explain the wavelength of a wave as a result of the velocity (determined by the medium through which it travels) and the frequency (determined by the source)</t>
  </si>
  <si>
    <t>2B.2 Wien's law λₘₐₓT = 2.90×10⁻³; 2B.3 blackbody total energy graphs</t>
  </si>
  <si>
    <t>2B.4 thermal/EM radiation concepts</t>
  </si>
  <si>
    <t>2D Strain potential energy</t>
  </si>
  <si>
    <t>2E Vertical spring-mass systems</t>
  </si>
  <si>
    <t>1A.6 Solve numerical problems using: λ = v/f = vT</t>
  </si>
  <si>
    <t>3A.1 proton:neutron ratio stability; 3A.2 electrostatic/strong/weak forces</t>
  </si>
  <si>
    <t>3A.3 electrostatic repulsion in nucleus</t>
  </si>
  <si>
    <t>3A.4 strong nuclear force overcomes; 3A.5 weak force p↔n transformation</t>
  </si>
  <si>
    <t>3A.6 binding energy curve</t>
  </si>
  <si>
    <t>AT U1AOS1</t>
  </si>
  <si>
    <t>Chapter 2 review</t>
  </si>
  <si>
    <t>U3 AOS1 review</t>
  </si>
  <si>
    <t>3A Gravitational fields and forces</t>
  </si>
  <si>
    <t>1B.1 EM waves transverse E&amp;M fields</t>
  </si>
  <si>
    <t>1B.1 Describe all electromagnetic waves as transverse vibrations of electric and magnetic fields that travel at speed, c, in a vacuum</t>
  </si>
  <si>
    <t>3B.1 α, β⁻, β⁺, γ properties; 3B.2 decay equations α, β⁻, β⁺, γ</t>
  </si>
  <si>
    <t>3C.1 half-life concept; 3C.2 activity after n half-lives</t>
  </si>
  <si>
    <t>3D.1 decay chains (e.g. U-238)</t>
  </si>
  <si>
    <t>3B Gravitational potential energy in uniform and non-uniform fields</t>
  </si>
  <si>
    <t>3C Orbital Motion</t>
  </si>
  <si>
    <t>SAC Practice Task</t>
  </si>
  <si>
    <t>1B.2 Sun emits UV, visible, IR</t>
  </si>
  <si>
    <t>1B.2 Describe electromagnetic radiation emitted from the Sun as mainly UV, visible and IR</t>
  </si>
  <si>
    <t>3E.1 radiation effects on humans; 3E.2 α, β, γ cell damage capacity</t>
  </si>
  <si>
    <t>3E.3 low/high dose short/long term</t>
  </si>
  <si>
    <t>3E.4 external vs internal sources; 3E.5 gray, sievert dose calcs</t>
  </si>
  <si>
    <t>3E.6 medical radioisotopes therapy</t>
  </si>
  <si>
    <t>Athletics</t>
  </si>
  <si>
    <t>U3 AOS1 SAC TEST</t>
  </si>
  <si>
    <t>Chapter 3 review</t>
  </si>
  <si>
    <t>1B.3 EM spectrum λ &amp; f ranges</t>
  </si>
  <si>
    <t>1B.3 Recall approximate wavelength and frequency ranges of the radio, microwave, infrared, visible, ultraviolet, X-ray and gamma ray regions</t>
  </si>
  <si>
    <t>1B.4 EM spectrum societal uses</t>
  </si>
  <si>
    <t>1B.4 Give examples of the different societal uses of regions of the electromagnetic spectrum from radio through to gamma rays</t>
  </si>
  <si>
    <t>4A.1 E = mc² nuclear energy; 4A.2 fission chain reactions</t>
  </si>
  <si>
    <t>4A.3 mass/shape criticality; 4A.4 neutron absorbers &amp; moderators</t>
  </si>
  <si>
    <t>4B.1 fusion vs fission comparison; 4B.2 binding energy curve fusion/fission</t>
  </si>
  <si>
    <t>4C.1 nuclear viability Australia; 4C.2 nuclear pros/cons Australia</t>
  </si>
  <si>
    <t>4A Electric fields</t>
  </si>
  <si>
    <t>4B Magnetic fields</t>
  </si>
  <si>
    <t>4C Magnetic forces on charged particles</t>
  </si>
  <si>
    <t>1C.1 ray model reflection/refraction</t>
  </si>
  <si>
    <t>1C.1 Use a ray model with wave crests to describe reflection and refraction of light</t>
  </si>
  <si>
    <t>5A.1 metal = sea of electrons; 5A.2 current = drift velocity e⁻</t>
  </si>
  <si>
    <t>5A.3 charge/current analogies</t>
  </si>
  <si>
    <t>5A.4 circuit symbols &amp; diagrams; 5A.5 ammeter measures current</t>
  </si>
  <si>
    <t>5A.6 I = Q/t calculations</t>
  </si>
  <si>
    <t>AT U1AOS2</t>
  </si>
  <si>
    <t>4D DC motors</t>
  </si>
  <si>
    <t>ANZAX</t>
  </si>
  <si>
    <t>Chapter 4 review</t>
  </si>
  <si>
    <t>U3 AOS2 review</t>
  </si>
  <si>
    <t>1C.10 dispersion in prisms/lenses</t>
  </si>
  <si>
    <t>1C.10 Qualitatively analyse situations involving dispersion of visible light in prisms and lenses</t>
  </si>
  <si>
    <t>5B.1 charge separation = V = energy; 5B.2 V = E/Q and E = VIt</t>
  </si>
  <si>
    <t>5B.3 voltage/current analogies; 5B.4 voltmeter measures V</t>
  </si>
  <si>
    <t>5B.5 ammeter series, voltmeter parallel</t>
  </si>
  <si>
    <t>5C.1 I-V for ohmic resistance; 5C.2 R = V/I Ohm's law</t>
  </si>
  <si>
    <t>MOTOR DISASSEMBLY</t>
  </si>
  <si>
    <t>1C.11 rainbows &amp; mirages formation</t>
  </si>
  <si>
    <t>1C.11 Qualitatively explain the formation of rainbows and mirages using a ray model of light</t>
  </si>
  <si>
    <t>Production week</t>
  </si>
  <si>
    <t>5C.3 current continuous in series</t>
  </si>
  <si>
    <t>5C.4 V drops across each R; 5C.5 R_total = R₁ + R₂ + ... series</t>
  </si>
  <si>
    <t>5C.6 voltage divider Vout calcs</t>
  </si>
  <si>
    <t>5D.1 parallel = junctions, paths; 5D.2 current splits at junctions</t>
  </si>
  <si>
    <t>5D.3 same V across parallel branches; 5D.4 1/R = 1/R₁ + 1/R₂ parallel</t>
  </si>
  <si>
    <t>U3 AOS2 SAC Data Analysis</t>
  </si>
  <si>
    <t>5A EMF and Faraday’s law</t>
  </si>
  <si>
    <t>5B Direction of induced current and Lenz’s law   274</t>
  </si>
  <si>
    <t>1C.12 Apply Snell's law to analyse qualitatively and quantitatively the operation of optical fibres for communication</t>
  </si>
  <si>
    <t>5D.5 I-V graphs equivalent R</t>
  </si>
  <si>
    <t>5E.1 P = E/t power formula; 5E.2 P = VI, P = I²R, P = V²/R</t>
  </si>
  <si>
    <t>5E.3 power in series vs parallel; 5E.4 series vs parallel advantages</t>
  </si>
  <si>
    <t>6A.1 diode I-V characteristic; 6A.2 LED I-V characteristic</t>
  </si>
  <si>
    <t>6A Electricity recap</t>
  </si>
  <si>
    <t>6B Transformers and comparing AC and DC power</t>
  </si>
  <si>
    <t>6C Transmission of power</t>
  </si>
  <si>
    <t>1C.2 refractive index definition</t>
  </si>
  <si>
    <t>1C.2 Define refractive index of transparent substances</t>
  </si>
  <si>
    <t>6A.3 variable resistor/potentiometer; 6A.4 LDR resistance vs light</t>
  </si>
  <si>
    <t>6A.5 thermistor resistance vs temp</t>
  </si>
  <si>
    <t>6A.6 voltage divider with components; 6A.7 LDR/thermistor divider circuits</t>
  </si>
  <si>
    <t>6A.8 variable component circuits</t>
  </si>
  <si>
    <t>1C.3 Use the equation: n₁v₁ = n₂v₂</t>
  </si>
  <si>
    <t>6B.1 redraw circuits as diagrams; 6B.2 household parallel AC 230V; 6B.3 series vs parallel justification</t>
  </si>
  <si>
    <t>6B.4 household power/energy calcs; 6B.5 kilowatt-hour (kWh) energy</t>
  </si>
  <si>
    <t>6C.1 electric shock causes/effects; 6C.2 danger current thresholds; 6C.3 230V 50Hz safety devices</t>
  </si>
  <si>
    <t>6C.4 3-pin plug active/neutral/earth; 6C.5 earth = low R path to 0V; 6C.6 fuse/circuit breaker/RCD</t>
  </si>
  <si>
    <t>Chapter 6 review</t>
  </si>
  <si>
    <t>AOS3  review</t>
  </si>
  <si>
    <t>1C.4 Snell's law practicals</t>
  </si>
  <si>
    <t>1C.4 Carry out practical investigations involving Snell's law</t>
  </si>
  <si>
    <t>AT U1AOS3</t>
  </si>
  <si>
    <t>Practice Exam</t>
  </si>
  <si>
    <t>U3 AOS3 SAC Structured questions</t>
  </si>
  <si>
    <t>7A Waves recap</t>
  </si>
  <si>
    <t>7B Wave interference and path difference</t>
  </si>
  <si>
    <t>7C Standing waves</t>
  </si>
  <si>
    <t>1C.5 Snell's law refraction calcs</t>
  </si>
  <si>
    <t>1C.5 Apply Snell's law to analyse qualitative and quantitative refraction situations of visible light</t>
  </si>
  <si>
    <t>10-11 exams</t>
  </si>
  <si>
    <t>1C.6 Qualitatively, using a ray model, explain the formation of images</t>
  </si>
  <si>
    <t>7D Diffraction</t>
  </si>
  <si>
    <t>Chapter 7 review</t>
  </si>
  <si>
    <t>1C.7 total internal reflection pracs</t>
  </si>
  <si>
    <t>1C.7 Carry out practical investigations involving total and partial internal reflection</t>
  </si>
  <si>
    <t>who</t>
  </si>
  <si>
    <t xml:space="preserve">knows </t>
  </si>
  <si>
    <t>what</t>
  </si>
  <si>
    <t>happened</t>
  </si>
  <si>
    <t>here</t>
  </si>
  <si>
    <t>1C.8 critical angle prediction</t>
  </si>
  <si>
    <t>1C.8 Apply Snell's law to predict the critical angle at media interfaces</t>
  </si>
  <si>
    <t>7A.1 vector vs scalar definition; 7A.2 common vectors &amp; scalars</t>
  </si>
  <si>
    <t>7A.3 straight-line vector addition</t>
  </si>
  <si>
    <t>7A.4 vector components</t>
  </si>
  <si>
    <t>7A.5 find unknown vector</t>
  </si>
  <si>
    <t>1C.9 Carry out practical investigations involving dispersion of visible light</t>
  </si>
  <si>
    <t>7B.1 interpret s-t graph; 7B.2 gradient s-t = velocity</t>
  </si>
  <si>
    <t>7B.3 interpret v-t graph</t>
  </si>
  <si>
    <t>7B.4 gradient v-t = acceleration; 7B.5 area under v-t = displacement</t>
  </si>
  <si>
    <t>7B.6 interpret a-t graph</t>
  </si>
  <si>
    <t>7B.7 area under a-t = Δv</t>
  </si>
  <si>
    <t>5C Alternators and DC generators</t>
  </si>
  <si>
    <t>5D Photovoltaic cells</t>
  </si>
  <si>
    <t>Chapter 5 review</t>
  </si>
  <si>
    <t>2A.1 thermal energy = Ek + Ep</t>
  </si>
  <si>
    <t>2A.1 Describe thermal energy as the sum of the random kinetic energy and potential energy of the atoms and molecules of an object or system</t>
  </si>
  <si>
    <t>7C.1 SUVAT equations</t>
  </si>
  <si>
    <t>8A.1 p = mv momentum; 8A.2 momentum conservation</t>
  </si>
  <si>
    <t>8A.3 collision momentum problems</t>
  </si>
  <si>
    <t>Ch7 Test</t>
  </si>
  <si>
    <t>2A.10 Use the equation Q = mL to calculate the energy needed to change the state of a substance</t>
  </si>
  <si>
    <t>8A.4 elastic vs inelastic maths</t>
  </si>
  <si>
    <t>8A.5 I = Δp = mΔv = FΔt impulse</t>
  </si>
  <si>
    <t>8A.6 area under F-t = impulse</t>
  </si>
  <si>
    <t>8B.1 Newton's three laws; 8B.2 add forces → net force</t>
  </si>
  <si>
    <t>8B.3 Fnet = ma calculations</t>
  </si>
  <si>
    <t>8B Young’s double slit experiment</t>
  </si>
  <si>
    <t>8A Electromagnetic waves</t>
  </si>
  <si>
    <t>9A Experimental design of the photoelectric effect</t>
  </si>
  <si>
    <t>9B Changing intensity in the photoelectric effect</t>
  </si>
  <si>
    <t>2A.2 temp ↔ thermal energy</t>
  </si>
  <si>
    <t>2A.2 Understand that increases and decreases of temperature are related to increases and decreases of thermal energy in a system</t>
  </si>
  <si>
    <t>Science Week</t>
  </si>
  <si>
    <t>8B.4 normal force concept; 8B.5 Newton's laws applications</t>
  </si>
  <si>
    <t>8B.6 force naming convention</t>
  </si>
  <si>
    <t>8B.7 mass vs weight (Fg)</t>
  </si>
  <si>
    <t>8B.8 Fg at centre of mass</t>
  </si>
  <si>
    <t>9C Changing frequency in the photoelectric effect</t>
  </si>
  <si>
    <t>9D What the photoelectric effect means</t>
  </si>
  <si>
    <t>10A Comparing light and matter</t>
  </si>
  <si>
    <t>10B Absorption and emission spectra</t>
  </si>
  <si>
    <t>2A.3 Celsius ↔ kelvin conversion</t>
  </si>
  <si>
    <t>2A.3 Convert temperatures between Celsius and kelvin</t>
  </si>
  <si>
    <t>8B.9 motion &amp; vehicle safety</t>
  </si>
  <si>
    <t>8C.1 τ = r⊥F torque; 8C.2 rotational equilibrium Στ = 0</t>
  </si>
  <si>
    <t>8C.3 translational equilibrium ΣF = 0</t>
  </si>
  <si>
    <t>9A.1 work needs parallel force; 9A.2 W = Fs cos θ</t>
  </si>
  <si>
    <t>Ch8 Test</t>
  </si>
  <si>
    <t>11A Special relativity concepts</t>
  </si>
  <si>
    <t>11B Length contraction and time dilation</t>
  </si>
  <si>
    <t>2A.4 conduction/convection/radiation</t>
  </si>
  <si>
    <t>2A.4 Analyse qualitatively thermal energy transfers in terms of conduction, convection, radiation and evaporation using a particle model</t>
  </si>
  <si>
    <t>9A.3 area under F-s = work</t>
  </si>
  <si>
    <t>9B.1 Eg = mgΔh; 9B.2 Ek = ½mv²</t>
  </si>
  <si>
    <t>9B.3 Ek ∝ v²</t>
  </si>
  <si>
    <t>9B.4 ΔEk = ½mv² − ½mu²; 9B.5 closed system energy conserved</t>
  </si>
  <si>
    <t>11C Relativity examples</t>
  </si>
  <si>
    <t>11D Mass-energy</t>
  </si>
  <si>
    <t>2A.5 Define specific heat capacity, c</t>
  </si>
  <si>
    <t>9B.6 Ek + Eg conservation</t>
  </si>
  <si>
    <t>9B.7 P = E/t power</t>
  </si>
  <si>
    <t>9B.8 η = useful/total efficiency</t>
  </si>
  <si>
    <t>9C.1 F-x graph gradient = k; 9C.2 Hooke's law F = −kx</t>
  </si>
  <si>
    <t>9C.3 Es = ½kx²</t>
  </si>
  <si>
    <t>Chapter 8 review</t>
  </si>
  <si>
    <t>Chapter 10 review</t>
  </si>
  <si>
    <t>Chapter 11 review</t>
  </si>
  <si>
    <t>2A.6 latent heat L definition</t>
  </si>
  <si>
    <t>2A.6 Define specific latent heats of vaporisation (condensation) and fusion (melting), L</t>
  </si>
  <si>
    <t>9C.4 Es ∝ x²</t>
  </si>
  <si>
    <t>9C.5 Es → other energy transforms</t>
  </si>
  <si>
    <t>9C.6 oscillating spring energy</t>
  </si>
  <si>
    <t>Ch9 Test</t>
  </si>
  <si>
    <t>U4 AOS1 review</t>
  </si>
  <si>
    <t>12A Asking questions, identifying variables, and making predictions</t>
  </si>
  <si>
    <t>12B Scientific conventions</t>
  </si>
  <si>
    <t>U4 AOS1 SAC TEST</t>
  </si>
  <si>
    <t>12C Collecting data</t>
  </si>
  <si>
    <t>2A.7 temp/state change practicals</t>
  </si>
  <si>
    <t>2A.7 Carry out practical investigations involving changing the temperature or state of a substance</t>
  </si>
  <si>
    <t>12D Representing and analysing data</t>
  </si>
  <si>
    <t>12E Gradients</t>
  </si>
  <si>
    <t>Chapter 12 review</t>
  </si>
  <si>
    <t>2A.8 thermal energy change analysis</t>
  </si>
  <si>
    <t>2A.8 Analyse quantitatively the thermal energy changes associated with temperature and state changes</t>
  </si>
  <si>
    <t>Options</t>
  </si>
  <si>
    <t>U2AOS1 test</t>
  </si>
  <si>
    <t>Scientific Investigation</t>
  </si>
  <si>
    <t>2A.9 Q = mcΔT calculations</t>
  </si>
  <si>
    <t>2A.9 Use the equation Q = mcΔT to calculate the energy needed to raise the temperature of a substance</t>
  </si>
  <si>
    <t>2B.1 Describe the general features of a blackbody object</t>
  </si>
  <si>
    <t>Rockets</t>
  </si>
  <si>
    <t>Exam preparation</t>
  </si>
  <si>
    <t>2B.2 Wien's law λₘₐₓT = 2.90×10⁻³</t>
  </si>
  <si>
    <t>2B.2 Use Wien's law (λₘₐₓT = 2.90 × 10⁻³ mK) to calculate the peak emitting wavelengths of objects modelled as blackbodies</t>
  </si>
  <si>
    <t>Relativity?</t>
  </si>
  <si>
    <t>2B.3 blackbody total energy graphs</t>
  </si>
  <si>
    <t>2B.3 Use graphical methods to compare total energy radiated by objects modelled as blackbodies</t>
  </si>
  <si>
    <t>Exam review</t>
  </si>
  <si>
    <t>2B.4 Identify the way concepts of thermal energy and electromagnetic radiation can help understanding of global warming and climate change</t>
  </si>
  <si>
    <t>3A.1 proton:neutron ratio stability</t>
  </si>
  <si>
    <t>3A.1 Know that nuclear stability depends on proton to neutron ratios</t>
  </si>
  <si>
    <t>3A.2 electrostatic/strong/weak forces</t>
  </si>
  <si>
    <t>3A.2 Understand the roles of the electrostatic force, the strong nuclear force and the weak nuclear force</t>
  </si>
  <si>
    <t>3A.3 Know that electrostatic forces on protons in the nucleus are extremely large repulsive forces</t>
  </si>
  <si>
    <t>3A.4 strong nuclear force overcomes</t>
  </si>
  <si>
    <t>3A.4 Know that the nucleus contains a short-range strong nuclear force that can overcome electrostatic repulsion forces</t>
  </si>
  <si>
    <t>3A.5 weak force p↔n transformation</t>
  </si>
  <si>
    <t>3A.5 Know that the weak force explains the transformation of protons into neutrons and vice versa</t>
  </si>
  <si>
    <t>3A.6 Interpret the binding energy curve</t>
  </si>
  <si>
    <t>3B.1 α, β⁻, β⁺, γ properties</t>
  </si>
  <si>
    <t>3B.1 Know the properties of α-, β⁻, β⁺ and γ-radiation</t>
  </si>
  <si>
    <t>3B.2 decay equations α, β⁻, β⁺, γ</t>
  </si>
  <si>
    <t>3B.2 Explain nuclear transformations using decay equations involving α-, β⁻, β⁺ and γ-radiation</t>
  </si>
  <si>
    <t>AOS1.1: Waves &amp; Light (14 periods)</t>
  </si>
  <si>
    <t>3C.1 half-life concept</t>
  </si>
  <si>
    <t>3C.1 Understand the concept of half-life for radioactive sources</t>
  </si>
  <si>
    <t>Section</t>
  </si>
  <si>
    <t>Topic</t>
  </si>
  <si>
    <t>Outcomes</t>
  </si>
  <si>
    <t>3C.2 activity after n half-lives</t>
  </si>
  <si>
    <t>3C.2 Determine the strength (activity) of radioactive sources after a whole number of half-lives have elapsed</t>
  </si>
  <si>
    <t>1A</t>
  </si>
  <si>
    <t>Wave properties &amp; equations</t>
  </si>
  <si>
    <t>3D.1 Analyse radioactive isotope decay chains (e.g. U-238) and understand that a decay series is a sequence of stages a radioisotope passes through before eventually reaching a stable isotope</t>
  </si>
  <si>
    <t>1B</t>
  </si>
  <si>
    <t>EM spectrum</t>
  </si>
  <si>
    <t>3E.1 radiation effects on humans</t>
  </si>
  <si>
    <t>3E.1 Explain effects of α-, β⁻, β⁺ and γ-radiation on humans</t>
  </si>
  <si>
    <t>1C</t>
  </si>
  <si>
    <t>Refraction, Snell's law, optical fibres</t>
  </si>
  <si>
    <t>3E.2 α, β, γ cell damage capacity</t>
  </si>
  <si>
    <t>3E.2 Understand the different capacity of α-, β⁻, β⁺ and γ-radiation to cause cell damage</t>
  </si>
  <si>
    <t>Chapter</t>
  </si>
  <si>
    <t>Percentage</t>
  </si>
  <si>
    <t>AOS1.1 Total</t>
  </si>
  <si>
    <t>3E.3 Understand the short- and long-term effects of low and high doses of radiation</t>
  </si>
  <si>
    <t>1 (1A, 1B, 1C)</t>
  </si>
  <si>
    <t>Waves &amp; Light</t>
  </si>
  <si>
    <t>AOS1.2: Thermal Physics (9 periods)</t>
  </si>
  <si>
    <t>3E.4 external vs internal sources</t>
  </si>
  <si>
    <t>3E.4 Understand the ionising impacts of external and internal radiation sources</t>
  </si>
  <si>
    <t>2 (2A, 2B)</t>
  </si>
  <si>
    <t>Thermal Physics</t>
  </si>
  <si>
    <t>3E.5 gray, sievert dose calcs</t>
  </si>
  <si>
    <t>3E.5 Be able to calculate absorbed dose (gray), equivalent dose (sievert) and effective dose (sievert)</t>
  </si>
  <si>
    <t>3 (3A–3E)</t>
  </si>
  <si>
    <t>Nuclear/Radioactivity</t>
  </si>
  <si>
    <t>2A</t>
  </si>
  <si>
    <t>Thermal energy, specific heat, latent heat</t>
  </si>
  <si>
    <t>3E.6 Evaluate the use of medical radioisotopes in therapy, including the effects on healthy and damaged tissues and cells</t>
  </si>
  <si>
    <t>4 (4A, 4B, 4C)</t>
  </si>
  <si>
    <t>Nuclear Energy</t>
  </si>
  <si>
    <t>2B</t>
  </si>
  <si>
    <t>Blackbody radiation, climate</t>
  </si>
  <si>
    <t>4A.1 E = mc² nuclear energy</t>
  </si>
  <si>
    <t>4A.1 Explain, qualitatively, nuclear energy as energy resulting from the conversion of mass to energy</t>
  </si>
  <si>
    <t>5 (5A–5E)</t>
  </si>
  <si>
    <t>Electricity Basics</t>
  </si>
  <si>
    <t>AOS1.2 Total</t>
  </si>
  <si>
    <t>4A.2 fission chain reactions</t>
  </si>
  <si>
    <t>4A.2 Explain fission chain reactions</t>
  </si>
  <si>
    <t>6 (6A, 6B, 6C)</t>
  </si>
  <si>
    <t>Applied Electricity &amp; Safety</t>
  </si>
  <si>
    <t>AOS2: Nuclear &amp; Radioactivity (15 periods)</t>
  </si>
  <si>
    <t>4A.3 mass/shape criticality</t>
  </si>
  <si>
    <t>4A.3 Discuss the effect of mass and shape on criticality in fission chain reactions</t>
  </si>
  <si>
    <t>4A.4 neutron absorbers &amp; moderators</t>
  </si>
  <si>
    <t>4A.4 Discuss the role of neutron absorption and moderators in fission chain reactions</t>
  </si>
  <si>
    <t>3A</t>
  </si>
  <si>
    <t>Nuclear stability, forces, binding energy</t>
  </si>
  <si>
    <t>4B.1 fusion vs fission comparison</t>
  </si>
  <si>
    <t>4B.1 Compare and understand the processes of nuclear fusion and nuclear fission</t>
  </si>
  <si>
    <t>3B</t>
  </si>
  <si>
    <t>Radiation types &amp; decay equations</t>
  </si>
  <si>
    <t>4B.2 binding energy curve fusion/fission</t>
  </si>
  <si>
    <t>4B.2 Explain, using a binding energy curve, why fusion and fission are both nuclear reactions that release energy</t>
  </si>
  <si>
    <t>3C</t>
  </si>
  <si>
    <t>Half-life</t>
  </si>
  <si>
    <t>4C.1 nuclear viability Australia</t>
  </si>
  <si>
    <t>4C.1 Investigate and analyse the viability of nuclear energy as an energy source for Australia</t>
  </si>
  <si>
    <t>3D</t>
  </si>
  <si>
    <t>Decay chains</t>
  </si>
  <si>
    <t>4C.2 nuclear pros/cons Australia</t>
  </si>
  <si>
    <t>4C.2 Discuss the advantages and disadvantages of nuclear energy for Australia</t>
  </si>
  <si>
    <t>3E</t>
  </si>
  <si>
    <t>Radiation effects, dosimetry, medical uses</t>
  </si>
  <si>
    <t>5A.1 metal = sea of electrons</t>
  </si>
  <si>
    <t>5A.1 Model a metal as having a sea of electrons free to move</t>
  </si>
  <si>
    <t>4A</t>
  </si>
  <si>
    <t>Fission chain reactions</t>
  </si>
  <si>
    <t>5A.2 current = drift velocity e⁻</t>
  </si>
  <si>
    <t>5A.2 Describe current in a metal in terms of drift velocity of negatively charged electrons</t>
  </si>
  <si>
    <t>4B</t>
  </si>
  <si>
    <t>Fusion vs fission</t>
  </si>
  <si>
    <t>5A.3 Use analogies to model charge and current in a circuit</t>
  </si>
  <si>
    <t>4C</t>
  </si>
  <si>
    <t>Nuclear energy viability for Australia</t>
  </si>
  <si>
    <t>5A.4 circuit symbols &amp; diagrams</t>
  </si>
  <si>
    <t>5A.4 Use circuit symbols to draw a circuit diagram from a given picture, practical simple circuit or description in words</t>
  </si>
  <si>
    <t>AOS2 Total</t>
  </si>
  <si>
    <t>5A.5 ammeter measures current</t>
  </si>
  <si>
    <t>5A.5 Use an ammeter to measure current in a simple circuit; construct a circuit and a suitable circuit diagram to show the use of an ammeter</t>
  </si>
  <si>
    <t>AOS3: Electricity (28 periods)</t>
  </si>
  <si>
    <t>5A.6 Apply the formula I = Q/t for calculations involving current, charge and time</t>
  </si>
  <si>
    <t>5B.1 charge separation = V = energy</t>
  </si>
  <si>
    <t>5B.1 Recall that separating positive and negative charges creates a potential difference, V, and requires an input of energy, E</t>
  </si>
  <si>
    <t>5A</t>
  </si>
  <si>
    <t>Current, charge, drift velocity</t>
  </si>
  <si>
    <t>5B.2 V = E/Q and E = VIt</t>
  </si>
  <si>
    <t>5B.2 Apply the formulas V = E/Q and E = VIt to calculate the energy supplied to a charge flowing in a circuit</t>
  </si>
  <si>
    <t>5B</t>
  </si>
  <si>
    <t>Potential difference, energy</t>
  </si>
  <si>
    <t>5B.3 voltage/current analogies</t>
  </si>
  <si>
    <t>5B.3 Use analogies to model potential difference and current in a circuit</t>
  </si>
  <si>
    <t>5C</t>
  </si>
  <si>
    <t>Resistance, Ohm's law, series circuits</t>
  </si>
  <si>
    <t>5B.4 voltmeter measures V</t>
  </si>
  <si>
    <t>5B.4 Use a voltmeter to measure potential difference in a simple circuit; construct a circuit and draw a suitable circuit diagram to show the role of a voltmeter</t>
  </si>
  <si>
    <t>5D</t>
  </si>
  <si>
    <t>Parallel circuits</t>
  </si>
  <si>
    <t>5B.5 Distinguish between the positioning of an ammeter (in series) and a voltmeter (in parallel) in a simple circuit</t>
  </si>
  <si>
    <t>5E</t>
  </si>
  <si>
    <t>Power in circuits</t>
  </si>
  <si>
    <t>5C.1 I-V for ohmic resistance</t>
  </si>
  <si>
    <t>5C.1 Construct a simple circuit to measure current and potential difference across an ohmic resistance; change potential difference and record data in a table of I vs V; plot or create I vs V graph</t>
  </si>
  <si>
    <t>6A</t>
  </si>
  <si>
    <t>Non-ohmic components (diodes, LDRs, thermistors)</t>
  </si>
  <si>
    <t>5C.2 R = V/I Ohm's law</t>
  </si>
  <si>
    <t>5C.2 Recall that resistance is the ratio of potential difference to current, including R = constant for ohmic devices</t>
  </si>
  <si>
    <t>6B</t>
  </si>
  <si>
    <t>Household circuits, kWh</t>
  </si>
  <si>
    <t>5C.3 Recognise that the current flows continuously through resistors in a series circuit, without reducing; current is constant at all points in a series circuit</t>
  </si>
  <si>
    <t>6C</t>
  </si>
  <si>
    <t>Electrical safety</t>
  </si>
  <si>
    <t>5C.4 V drops across each R</t>
  </si>
  <si>
    <t>5C.4 Recall that the potential difference drops across each resistance in a series circuit, as energy is converted to other forms: Vsupply = V1 + V2 + … + Vn</t>
  </si>
  <si>
    <t>AOS3 Total</t>
  </si>
  <si>
    <t>5C.5 R_total = R₁ + R₂ + ... series</t>
  </si>
  <si>
    <t>5C.5 Recognise and calculate that equivalent resistance in a series circuit is the sum of each resistance: Requivalent = R1 + R2 + … + Rn</t>
  </si>
  <si>
    <t>5C.6 Calculate the potential difference output Vout of a potential divider, given the ratio of resistances and the supply voltage</t>
  </si>
  <si>
    <t>5D.1 parallel = junctions, paths</t>
  </si>
  <si>
    <t>5D.1 Recognise a parallel circuit as one with junctions, where the current takes more than one path around the circuit</t>
  </si>
  <si>
    <t>5D.2 current splits at junctions</t>
  </si>
  <si>
    <t>5D.2 Recall that the current flows continuously through resistors without reducing, but splits at the junctions in a parallel circuit and reunites to return to the main branch through the battery: total current supplied by the battery is Isupply = I1 + I2 + … + In</t>
  </si>
  <si>
    <t>5D.3 same V across parallel branches</t>
  </si>
  <si>
    <t>5D.3 Recognise that the potential difference across each branch of a parallel circuit is the same, as energy is converted to other forms</t>
  </si>
  <si>
    <t>5D.4 1/R = 1/R₁ + 1/R₂ parallel</t>
  </si>
  <si>
    <t>5D.4 Recognise and calculate that equivalent resistance in a parallel circuit is 1/Requivalent = 1/R1 + 1/R2 + … + 1/Rn</t>
  </si>
  <si>
    <t>5D.5 Use I–V graphs of individual components to predict the equivalent resistance of those components in series and in parallel</t>
  </si>
  <si>
    <t>5E.1 P = E/t power formula</t>
  </si>
  <si>
    <t>5E.1 Calculate power as the rate of energy transfer P = E/t in a simple circuit</t>
  </si>
  <si>
    <t>5E.2 P = VI, P = I²R, P = V²/R</t>
  </si>
  <si>
    <t>5E.2 Calculate power from P = VI supplied and consumed in a simple circuit; use alternative formulas P = V²/R = I²R</t>
  </si>
  <si>
    <t>5E.3 power in series vs parallel</t>
  </si>
  <si>
    <t>5E.3 Calculate the power supplied to loads in series and in parallel</t>
  </si>
  <si>
    <t>5E.4 series vs parallel advantages</t>
  </si>
  <si>
    <t>5E.4 Explain the advantages and disadvantages of series and parallel circuits, in particular relating to household circuits</t>
  </si>
  <si>
    <t>6A.1 diode I-V characteristic</t>
  </si>
  <si>
    <t>6A.1 Recognise the way a diode behaves in a circuit and relate this to its I–V characteristic (I–V graph)</t>
  </si>
  <si>
    <t>6A.2 LED I-V characteristic</t>
  </si>
  <si>
    <t>6A.2 Recognise the way an LED behaves in a circuit and relate this to its I–V characteristic; compare this to the characteristic for a diode, and relate it to the uses for each</t>
  </si>
  <si>
    <t>6A.3 variable resistor/potentiometer</t>
  </si>
  <si>
    <t>6A.3 Recognise a variable resistor (or potentiometer) as a long, high-resistance wire of which a selected section is used; apply this to use in a volume control or dimmer, or in a circuit where current is to be varied</t>
  </si>
  <si>
    <t>6A.4 LDR resistance vs light</t>
  </si>
  <si>
    <t>6A.4 Recognise the way an LDR behaves in a circuit and relate this to its resistance vs light level graph</t>
  </si>
  <si>
    <t>6A.5 Recognise the way a thermistor behaves in a circuit and relate this to its resistance vs temperature graph</t>
  </si>
  <si>
    <t>6A.6 voltage divider with components</t>
  </si>
  <si>
    <t>6A.6 Calculate the potential difference output of a potential divider given the ratio of resistances used and the supply potential difference</t>
  </si>
  <si>
    <t>6A.7 LDR/thermistor divider circuits</t>
  </si>
  <si>
    <t>6A.7 Predict and analyse the behaviour of potential divider circuits using resistors, LDRs, thermistors and LEDs; understand some of the uses for these non-ohmic components</t>
  </si>
  <si>
    <t>6A.8 Predict and analyse the behaviour of other components in a circuit where variation is created using potentiometers, diodes, LEDs and switches</t>
  </si>
  <si>
    <t>6B.1 redraw circuits as diagrams</t>
  </si>
  <si>
    <t>6B.1 Re-draw a picture of a circuit as the equivalent circuit diagram for series, parallel and complex circuits</t>
  </si>
  <si>
    <t>6B.2 household parallel AC 230V</t>
  </si>
  <si>
    <t>6B.2 Identify household electrical systems as mostly parallel circuits, with AC supplied in Australia at 230 V 50 Hz</t>
  </si>
  <si>
    <t>6B.3 series vs parallel justification</t>
  </si>
  <si>
    <t>6B.3 Justify the use of series or parallel circuits for household circuits using the characteristics of each type of circuit</t>
  </si>
  <si>
    <t>6B.4 household power/energy calcs</t>
  </si>
  <si>
    <t>6B.4 Calculate the power and energy supplied to household appliances in a parallel circuit and compare this to power use in a series circuit</t>
  </si>
  <si>
    <t>6B.5 kilowatt-hour (kWh) energy</t>
  </si>
  <si>
    <t>6B.5 Consider the energy used in a household (and other applications) and apply the kilowatt-hour (kW h) as a unit of energy; for example, as it relates to cost and to battery storage</t>
  </si>
  <si>
    <t>6C.1 electric shock causes/effects</t>
  </si>
  <si>
    <t>6C.1 Describe the causes, effects and first aid treatment of electric shock</t>
  </si>
  <si>
    <t>6C.2 danger current thresholds</t>
  </si>
  <si>
    <t>6C.2 Identify and recall the approximate danger thresholds for current and duration passing through a human body</t>
  </si>
  <si>
    <t>6C.3 230V 50Hz safety devices</t>
  </si>
  <si>
    <t>6C.3 Recall that the mains supply in Australia is 230 V 50 Hz; recognise the need for safety devices such as fuses, switches and circuit breakers to make a circuit safe</t>
  </si>
  <si>
    <t>6C.4 3-pin plug active/neutral/earth</t>
  </si>
  <si>
    <t>6C.4 Recognise the Australian standard three-pin plug with active, neutral and earth connections; relate this to a model of an AC circuit compared with DC</t>
  </si>
  <si>
    <t>6C.5 earth = low R path to 0V</t>
  </si>
  <si>
    <t>6C.5 Understand the earth connection as a low-resistance path to 0 V, hence as a safety connection; also as a zero of potential; recall the conditions under which double-insulated devices do not require an earth connection</t>
  </si>
  <si>
    <t>6C.6 fuse/circuit breaker/RCD</t>
  </si>
  <si>
    <t>6C.6 Describe the operation of these safety devices in Australia: switch, fuse, circuit breaker, residual current device (RCD)</t>
  </si>
  <si>
    <t>7A.1 vector vs scalar definition</t>
  </si>
  <si>
    <t>7A.1 Recall that a vector requires a magnitude and direction while a scalar only needs a magnitude</t>
  </si>
  <si>
    <t>7A.2 common vectors &amp; scalars</t>
  </si>
  <si>
    <t>7A.2 Recall common types of vectors and scalars</t>
  </si>
  <si>
    <t>7A.3 Perform basic straight-line addition of vectors</t>
  </si>
  <si>
    <t>7A.4 Determine the components of vectors</t>
  </si>
  <si>
    <t>7A.5 Determine an unknown vector when given the initial vector and the resultant vector</t>
  </si>
  <si>
    <t>7B.1 interpret s-t graph</t>
  </si>
  <si>
    <t>7B.1 Interpret a displacement–time graph</t>
  </si>
  <si>
    <t>7B.2 gradient s-t = velocity</t>
  </si>
  <si>
    <t>7B.2 Apply the knowledge that the gradient of a displacement–time graph is the velocity</t>
  </si>
  <si>
    <t>7B.3 Interpret a velocity–time graph</t>
  </si>
  <si>
    <t>7B.4 gradient v-t = acceleration</t>
  </si>
  <si>
    <t>7B.4 Apply the knowledge that the gradient of a velocity–time graph is the acceleration</t>
  </si>
  <si>
    <t>7B.5 area under v-t = displacement</t>
  </si>
  <si>
    <t>7B.5 Apply the knowledge that the area under a velocity–time graph is the total displacement and the absolute values of the area under the graph is the total distance travelled</t>
  </si>
  <si>
    <t>7B.6 Interpret an acceleration–time graph</t>
  </si>
  <si>
    <t>7B.7 Apply the knowledge that the area under an acceleration–time graph is the change in velocity</t>
  </si>
  <si>
    <t>7C.1 Analyse numerically and algebraically, straight-line motion under constant acceleration using the formulas: v = u + at, v² = u² + 2as and s = ½(u + v)t = ut + ½at² = vt - ½at²</t>
  </si>
  <si>
    <t>8A.1 p = mv momentum</t>
  </si>
  <si>
    <t>8A.1 Use the formula p = mv to calculate the momentum of bodies</t>
  </si>
  <si>
    <t>8A.2 momentum conservation</t>
  </si>
  <si>
    <t>8A.2 Understand that as long as no external forces are acting on an object, its momentum is conserved</t>
  </si>
  <si>
    <t>8A.3 Apply conservation of momentum to solve problems relating to two objects colliding in a straight line</t>
  </si>
  <si>
    <t>8A.4 Be able to determine mathematically if a collision is elastic or inelastic</t>
  </si>
  <si>
    <t>8A.5 Use the formulas I = Δp = mΔv = mv − mu = Fav Δt to model impulse and change in momentum</t>
  </si>
  <si>
    <t>8A.6 Understand that the area under a force–time graph is the impulse and apply this knowledge to solve a variety of problems</t>
  </si>
  <si>
    <t>8B.1 Newton's three laws</t>
  </si>
  <si>
    <t>8B.1 Recall Newton's three laws of motion</t>
  </si>
  <si>
    <t>8B.2 add forces → net force</t>
  </si>
  <si>
    <t>8B.2 Be able to add forces to find the net force on an object</t>
  </si>
  <si>
    <t>8B.3 Use the formula Fnet = ma to model Newton's second law of motion</t>
  </si>
  <si>
    <t>8B.4 normal force concept</t>
  </si>
  <si>
    <t>8B.4 Understand the normal force</t>
  </si>
  <si>
    <t>8B.5 Newton's laws applications</t>
  </si>
  <si>
    <t>8B.5 Apply Newton's laws to a number of different situations; including using the formula a = Fnet/m to calculate the acceleration of a system and F = ma to calculate the force on different parts of the system</t>
  </si>
  <si>
    <t>8B.6 Be able to label forces using the convention 'force on A by B' or Fon A by B = −Fon B by A</t>
  </si>
  <si>
    <t>8B.7 Understand the difference between mass and the force due to gravity</t>
  </si>
  <si>
    <t>8B.8 Model the force due to gravity, Fg, as the force of gravity acting at the centre of mass of a body</t>
  </si>
  <si>
    <t>8B.9 Apply motion concepts to discuss vehicle safety</t>
  </si>
  <si>
    <t>8C.1 τ = r⊥F torque</t>
  </si>
  <si>
    <t>8C.1 Use the formula τ = r⊥F to calculate torques</t>
  </si>
  <si>
    <t>8C.2 rotational equilibrium Στ = 0</t>
  </si>
  <si>
    <t>8C.2 Be able to apply the idea that when a system is in rotational equilibrium, the sum of the clockwise torques is equal to the sum of the anticlockwise torques</t>
  </si>
  <si>
    <t>8C.3 Be able to apply the idea that when a system is in translational equilibrium, the sum of the forces is equal to zero: ΣF = 0</t>
  </si>
  <si>
    <t>9A.1 work needs parallel force</t>
  </si>
  <si>
    <t>9A.1 Understand that the useful work is only achieved by a force that is parallel to the direction of motion</t>
  </si>
  <si>
    <t>9A.2 W = Fs cos θ</t>
  </si>
  <si>
    <t>9A.2 Apply the formula: W = Fs cos θ</t>
  </si>
  <si>
    <t>9A.3 Understand and apply the fact that work is the area under a force–distance graph</t>
  </si>
  <si>
    <t>9B.1 Eg = mgΔh</t>
  </si>
  <si>
    <t>9B.1 Apply the formula: Eg = mg Δh</t>
  </si>
  <si>
    <t>9B.2 Ek = ½mv²</t>
  </si>
  <si>
    <t>9B.2 Apply the formula: Ek = ½mv²</t>
  </si>
  <si>
    <t>9B.3 Understand that the kinetic energy is directly proportional to velocity squared</t>
  </si>
  <si>
    <t>9B.4 ΔEk = ½mv² − ½mu²</t>
  </si>
  <si>
    <t>9B.4 Apply the formula: ΔEk = Ek final − Ek initial = ½mv² − ½mu²</t>
  </si>
  <si>
    <t>9B.5 closed system energy conserved</t>
  </si>
  <si>
    <t>9B.5 Understand that in a closed system the total amount of energy remains the same</t>
  </si>
  <si>
    <t>9B.6 Apply the formula: Ek initial + Eg initial = Ek final + Eg final</t>
  </si>
  <si>
    <t>9B.7 Apply the formula: P = E/t</t>
  </si>
  <si>
    <t>9B.8 Apply the formula: η = useful energy out / total energy in</t>
  </si>
  <si>
    <t>9C.1 F-x graph gradient = k</t>
  </si>
  <si>
    <t>9C.1 Understand that the gradient of a force–compression/extension graph is the spring constant and the area under the graph is the elastic potential energy</t>
  </si>
  <si>
    <t>9C.2 Hooke's law F = −kx</t>
  </si>
  <si>
    <t>9C.2 Apply the formula for Hooke's law: F = −kx</t>
  </si>
  <si>
    <t>9C.3 Apply the formula: Es = ½kx²</t>
  </si>
  <si>
    <t>9C.4 Understand that the elastic potential energy is directly proportional to the compression/extension squared</t>
  </si>
  <si>
    <t>9C.5 Understand that elastic potential energy can be transformed into other types of energy</t>
  </si>
  <si>
    <t>9C.6 Be able to describe the energy transformations that occur in vertical and horizontal oscillating springs</t>
  </si>
  <si>
    <t>Start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</si>
</sst>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-d"/>
    <numFmt numFmtId="165" formatCode="&quot; &quot;ddd&quot; &quot;d&quot; &quot;mmm"/>
    <numFmt numFmtId="166" formatCode="ddd\ d\ mmmm"/>
    <numFmt numFmtId="167" formatCode="0.0"/>
    <numFmt numFmtId="168" formatCode="mmm\ d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i/>
      <sz val="11"/>
      <color rgb="FF0000FF"/>
      <name val="Arial Narrow"/>
      <family val="2"/>
    </font>
    <font>
      <i/>
      <sz val="11"/>
      <color theme="1"/>
      <name val="Arial Narrow"/>
      <family val="2"/>
    </font>
    <font>
      <sz val="11"/>
      <color rgb="FF7F6000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name val="Calibri"/>
      <family val="2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DDDDD"/>
        <bgColor rgb="FFDDDDDD"/>
      </patternFill>
    </fill>
    <fill>
      <patternFill patternType="solid">
        <fgColor rgb="FFFFD6EA"/>
        <bgColor indexed="64"/>
      </patternFill>
    </fill>
    <fill>
      <patternFill patternType="solid">
        <fgColor theme="9" tint="0.79998168889431442"/>
        <bgColor rgb="FFF3F3F3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134">
    <xf numFmtId="0" fontId="0" fillId="0" borderId="0" xfId="0" applyBorder="1"/>
    <xf numFmtId="0" fontId="2" fillId="0" borderId="0" xfId="0" applyFont="1" applyBorder="1"/>
    <xf numFmtId="164" fontId="2" fillId="2" borderId="1" xfId="0" applyNumberFormat="1" applyFont="1" applyFill="1" applyAlignment="1">
      <alignment vertical="center" wrapText="1"/>
    </xf>
    <xf numFmtId="165" fontId="2" fillId="2" borderId="1" xfId="0" applyNumberFormat="1" applyFont="1" applyFill="1" applyAlignment="1">
      <alignment vertical="center" wrapText="1"/>
    </xf>
    <xf numFmtId="0" fontId="2" fillId="13" borderId="1" xfId="0" applyFont="1" applyFill="1" applyAlignment="1">
      <alignment vertical="center" wrapText="1"/>
    </xf>
    <xf numFmtId="165" fontId="2" fillId="13" borderId="1" xfId="0" applyNumberFormat="1" applyFont="1" applyFill="1" applyAlignment="1">
      <alignment vertical="center" wrapText="1"/>
    </xf>
    <xf numFmtId="164" fontId="2" fillId="14" borderId="1" xfId="0" applyNumberFormat="1" applyFont="1" applyFill="1" applyAlignment="1">
      <alignment vertical="center" wrapText="1"/>
    </xf>
    <xf numFmtId="165" fontId="2" fillId="4" borderId="1" xfId="0" applyNumberFormat="1" applyFont="1" applyFill="1" applyAlignment="1">
      <alignment vertical="center" wrapText="1"/>
    </xf>
    <xf numFmtId="165" fontId="2" fillId="14" borderId="1" xfId="0" applyNumberFormat="1" applyFont="1" applyFill="1" applyAlignment="1">
      <alignment vertical="center" wrapText="1"/>
    </xf>
    <xf numFmtId="164" fontId="3" fillId="2" borderId="1" xfId="0" applyNumberFormat="1" applyFont="1" applyFill="1" applyAlignment="1">
      <alignment vertical="center" wrapText="1"/>
    </xf>
    <xf numFmtId="164" fontId="3" fillId="14" borderId="1" xfId="0" applyNumberFormat="1" applyFont="1" applyFill="1" applyAlignment="1">
      <alignment vertical="center" wrapText="1"/>
    </xf>
    <xf numFmtId="0" fontId="2" fillId="21" borderId="1" xfId="0" applyFont="1" applyFill="1" applyAlignment="1">
      <alignment vertical="center" wrapText="1"/>
    </xf>
    <xf numFmtId="165" fontId="2" fillId="21" borderId="1" xfId="0" applyNumberFormat="1" applyFont="1" applyFill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center"/>
    </xf>
    <xf numFmtId="0" fontId="2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2" fillId="19" borderId="1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20" borderId="5" xfId="0" applyFont="1" applyFill="1" applyBorder="1"/>
    <xf numFmtId="0" fontId="2" fillId="20" borderId="1" xfId="0" applyFont="1" applyFill="1"/>
    <xf numFmtId="0" fontId="2" fillId="20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1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/>
    <xf numFmtId="0" fontId="3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9" fillId="0" borderId="0" xfId="0" applyFont="1" applyBorder="1"/>
    <xf numFmtId="0" fontId="3" fillId="25" borderId="1" xfId="0" applyFont="1" applyFill="1" applyAlignment="1">
      <alignment horizontal="center"/>
    </xf>
    <xf numFmtId="14" fontId="2" fillId="0" borderId="1" xfId="0" applyNumberFormat="1" applyFont="1" applyAlignment="1">
      <alignment horizontal="center" vertical="center" wrapText="1"/>
    </xf>
    <xf numFmtId="0" fontId="2" fillId="0" borderId="1" xfId="0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3" fillId="0" borderId="1" xfId="0" applyFont="1"/>
    <xf numFmtId="0" fontId="2" fillId="0" borderId="1" xfId="0" applyFont="1" applyAlignment="1">
      <alignment horizontal="left"/>
    </xf>
    <xf numFmtId="0" fontId="2" fillId="6" borderId="1" xfId="0" applyFont="1" applyFill="1"/>
    <xf numFmtId="0" fontId="2" fillId="5" borderId="1" xfId="0" applyFont="1" applyFill="1"/>
    <xf numFmtId="0" fontId="2" fillId="16" borderId="1" xfId="0" applyFont="1" applyFill="1"/>
    <xf numFmtId="0" fontId="2" fillId="4" borderId="1" xfId="0" applyFont="1" applyFill="1"/>
    <xf numFmtId="0" fontId="7" fillId="0" borderId="1" xfId="0" applyFont="1"/>
    <xf numFmtId="0" fontId="4" fillId="5" borderId="1" xfId="0" applyFont="1" applyFill="1"/>
    <xf numFmtId="0" fontId="2" fillId="7" borderId="1" xfId="0" applyFont="1" applyFill="1"/>
    <xf numFmtId="0" fontId="2" fillId="12" borderId="1" xfId="0" applyFont="1" applyFill="1"/>
    <xf numFmtId="0" fontId="2" fillId="11" borderId="1" xfId="0" applyFont="1" applyFill="1"/>
    <xf numFmtId="0" fontId="2" fillId="20" borderId="1" xfId="0" applyFont="1" applyFill="1" applyAlignment="1">
      <alignment horizontal="left"/>
    </xf>
    <xf numFmtId="0" fontId="2" fillId="8" borderId="1" xfId="0" applyFont="1" applyFill="1"/>
    <xf numFmtId="0" fontId="5" fillId="0" borderId="1" xfId="0" applyFont="1"/>
    <xf numFmtId="0" fontId="2" fillId="9" borderId="1" xfId="0" applyFont="1" applyFill="1"/>
    <xf numFmtId="0" fontId="6" fillId="0" borderId="1" xfId="0" applyFont="1"/>
    <xf numFmtId="0" fontId="6" fillId="9" borderId="1" xfId="0" applyFont="1" applyFill="1"/>
    <xf numFmtId="0" fontId="2" fillId="10" borderId="1" xfId="0" applyFont="1" applyFill="1"/>
    <xf numFmtId="0" fontId="2" fillId="17" borderId="1" xfId="0" applyFont="1" applyFill="1"/>
    <xf numFmtId="166" fontId="2" fillId="0" borderId="1" xfId="0" applyNumberFormat="1" applyFont="1"/>
    <xf numFmtId="0" fontId="3" fillId="0" borderId="1" xfId="0" applyFont="1" applyAlignment="1">
      <alignment horizontal="left"/>
    </xf>
    <xf numFmtId="0" fontId="3" fillId="0" borderId="1" xfId="0" applyFont="1" applyAlignment="1">
      <alignment vertical="center" wrapText="1"/>
    </xf>
    <xf numFmtId="14" fontId="2" fillId="0" borderId="1" xfId="0" applyNumberFormat="1" applyFont="1" applyAlignment="1">
      <alignment vertical="center" wrapText="1"/>
    </xf>
    <xf numFmtId="0" fontId="2" fillId="18" borderId="1" xfId="0" applyFont="1" applyFill="1"/>
    <xf numFmtId="14" fontId="2" fillId="0" borderId="1" xfId="0" applyNumberFormat="1" applyFont="1"/>
    <xf numFmtId="0" fontId="2" fillId="15" borderId="1" xfId="0" applyFont="1" applyFill="1"/>
    <xf numFmtId="0" fontId="9" fillId="0" borderId="1" xfId="0" applyFont="1"/>
    <xf numFmtId="0" fontId="9" fillId="16" borderId="1" xfId="0" applyFont="1" applyFill="1"/>
    <xf numFmtId="0" fontId="7" fillId="16" borderId="1" xfId="0" applyFont="1" applyFill="1"/>
    <xf numFmtId="0" fontId="2" fillId="24" borderId="1" xfId="0" applyFont="1" applyFill="1"/>
    <xf numFmtId="0" fontId="2" fillId="16" borderId="1" xfId="0" applyFont="1" applyFill="1" applyAlignment="1">
      <alignment horizontal="center"/>
    </xf>
    <xf numFmtId="0" fontId="2" fillId="24" borderId="1" xfId="0" applyFont="1" applyFill="1" applyAlignment="1">
      <alignment horizontal="center"/>
    </xf>
    <xf numFmtId="0" fontId="2" fillId="22" borderId="1" xfId="0" applyFont="1" applyFill="1"/>
    <xf numFmtId="0" fontId="2" fillId="23" borderId="1" xfId="0" applyFont="1" applyFill="1" applyAlignment="1">
      <alignment horizontal="center"/>
    </xf>
    <xf numFmtId="0" fontId="2" fillId="23" borderId="1" xfId="0" applyFont="1" applyFill="1"/>
    <xf numFmtId="0" fontId="6" fillId="15" borderId="1" xfId="0" applyFont="1" applyFill="1"/>
    <xf numFmtId="0" fontId="8" fillId="0" borderId="1" xfId="0" applyFont="1" applyAlignment="1">
      <alignment horizontal="center" vertical="center" wrapText="1"/>
    </xf>
    <xf numFmtId="0" fontId="8" fillId="16" borderId="1" xfId="0" applyFont="1" applyFill="1" applyAlignment="1">
      <alignment vertical="center" wrapText="1"/>
    </xf>
    <xf numFmtId="0" fontId="1" fillId="16" borderId="1" xfId="0" applyFont="1" applyFill="1" applyAlignment="1">
      <alignment vertical="center" wrapText="1"/>
    </xf>
    <xf numFmtId="166" fontId="2" fillId="0" borderId="1" xfId="0" applyNumberFormat="1" applyFont="1" applyAlignment="1">
      <alignment horizontal="left"/>
    </xf>
    <xf numFmtId="0" fontId="8" fillId="24" borderId="1" xfId="0" applyFont="1" applyFill="1" applyAlignment="1">
      <alignment vertical="center" wrapText="1"/>
    </xf>
    <xf numFmtId="0" fontId="1" fillId="24" borderId="1" xfId="0" applyFont="1" applyFill="1" applyAlignment="1">
      <alignment vertical="center" wrapText="1"/>
    </xf>
    <xf numFmtId="0" fontId="8" fillId="23" borderId="1" xfId="0" applyFont="1" applyFill="1" applyAlignment="1">
      <alignment vertical="center" wrapText="1"/>
    </xf>
    <xf numFmtId="0" fontId="1" fillId="23" borderId="1" xfId="0" applyFont="1" applyFill="1" applyAlignment="1">
      <alignment vertical="center" wrapText="1"/>
    </xf>
    <xf numFmtId="0" fontId="8" fillId="15" borderId="1" xfId="0" applyFont="1" applyFill="1" applyAlignment="1">
      <alignment vertical="center" wrapText="1"/>
    </xf>
    <xf numFmtId="0" fontId="1" fillId="15" borderId="1" xfId="0" applyFont="1" applyFill="1" applyAlignment="1">
      <alignment vertical="center" wrapText="1"/>
    </xf>
    <xf numFmtId="0" fontId="8" fillId="0" borderId="1" xfId="0" applyFont="1" applyAlignment="1">
      <alignment vertical="center" wrapText="1"/>
    </xf>
    <xf numFmtId="0" fontId="1" fillId="0" borderId="1" xfId="0" applyFont="1" applyAlignment="1">
      <alignment vertical="center" wrapText="1"/>
    </xf>
    <xf numFmtId="0" fontId="1" fillId="0" borderId="1" xfId="0" applyFont="1"/>
    <xf numFmtId="0" fontId="2" fillId="17" borderId="1" xfId="0" applyFont="1" applyFill="1" applyAlignment="1">
      <alignment horizontal="center"/>
    </xf>
    <xf numFmtId="0" fontId="8" fillId="0" borderId="1" xfId="0" applyFont="1"/>
    <xf numFmtId="0" fontId="0" fillId="0" borderId="1" xfId="0"/>
    <xf numFmtId="167" fontId="2" fillId="0" borderId="1" xfId="0" applyNumberFormat="1" applyFont="1"/>
    <xf numFmtId="0" fontId="11" fillId="0" borderId="1" xfId="0" applyFont="1"/>
    <xf numFmtId="0" fontId="7" fillId="17" borderId="1" xfId="0" applyFont="1" applyFill="1"/>
    <xf numFmtId="0" fontId="2" fillId="18" borderId="1" xfId="0" applyFont="1" applyFill="1" applyAlignment="1">
      <alignment horizontal="center"/>
    </xf>
    <xf numFmtId="0" fontId="7" fillId="18" borderId="1" xfId="0" applyFont="1" applyFill="1"/>
    <xf numFmtId="0" fontId="7" fillId="19" borderId="1" xfId="0" applyFont="1" applyFill="1" applyAlignment="1">
      <alignment horizontal="center"/>
    </xf>
    <xf numFmtId="0" fontId="10" fillId="26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168" fontId="0" fillId="19" borderId="10" xfId="0" applyNumberFormat="1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 wrapText="1"/>
    </xf>
    <xf numFmtId="168" fontId="12" fillId="19" borderId="10" xfId="0" applyNumberFormat="1" applyFont="1" applyFill="1" applyBorder="1" applyAlignment="1">
      <alignment horizontal="center" vertical="center"/>
    </xf>
    <xf numFmtId="0" fontId="12" fillId="19" borderId="13" xfId="0" applyFont="1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22" borderId="10" xfId="0" applyFill="1" applyBorder="1" applyAlignment="1">
      <alignment horizontal="center" vertical="center" wrapText="1"/>
    </xf>
    <xf numFmtId="0" fontId="1" fillId="19" borderId="10" xfId="0" applyFont="1" applyFill="1" applyBorder="1" applyAlignment="1">
      <alignment horizontal="center" vertical="center" wrapText="1"/>
    </xf>
    <xf numFmtId="0" fontId="2" fillId="15" borderId="1" xfId="0" applyFont="1" applyFill="1" applyAlignment="1">
      <alignment horizontal="center"/>
    </xf>
    <xf numFmtId="0" fontId="0" fillId="23" borderId="10" xfId="0" applyFill="1" applyBorder="1" applyAlignment="1">
      <alignment horizontal="center" vertical="center" wrapText="1"/>
    </xf>
    <xf numFmtId="0" fontId="2" fillId="28" borderId="1" xfId="0" applyFont="1" applyFill="1" applyAlignment="1">
      <alignment horizontal="center"/>
    </xf>
    <xf numFmtId="0" fontId="7" fillId="15" borderId="1" xfId="0" applyFont="1" applyFill="1"/>
    <xf numFmtId="0" fontId="0" fillId="19" borderId="1" xfId="0" applyFill="1"/>
    <xf numFmtId="0" fontId="2" fillId="22" borderId="1" xfId="0" applyFont="1" applyFill="1" applyAlignment="1">
      <alignment horizontal="center"/>
    </xf>
    <xf numFmtId="0" fontId="2" fillId="27" borderId="1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topLeftCell="A8" workbookViewId="0">
      <selection activeCell="E12" sqref="B12:E12"/>
    </sheetView>
  </sheetViews>
  <sheetFormatPr baseColWidth="10" defaultColWidth="8.83203125" defaultRowHeight="15" x14ac:dyDescent="0.2"/>
  <cols>
    <col min="1" max="1" width="12" style="107" customWidth="1"/>
    <col min="2" max="2" width="30" style="115" customWidth="1"/>
    <col min="3" max="3" width="30" style="107" customWidth="1"/>
    <col min="4" max="5" width="30" customWidth="1"/>
    <col min="6" max="6" width="30" style="115" customWidth="1"/>
    <col min="7" max="8" width="8.83203125" style="107" customWidth="1"/>
    <col min="9" max="16384" width="8.83203125" style="107"/>
  </cols>
  <sheetData>
    <row r="1" spans="1:7" ht="16" customHeight="1" x14ac:dyDescent="0.2">
      <c r="A1" s="106" t="s">
        <v>0</v>
      </c>
      <c r="B1" s="113" t="s">
        <v>1</v>
      </c>
      <c r="C1" s="106" t="s">
        <v>1</v>
      </c>
      <c r="D1" s="106" t="s">
        <v>2</v>
      </c>
      <c r="E1" s="106" t="s">
        <v>3</v>
      </c>
      <c r="F1" s="113" t="s">
        <v>4</v>
      </c>
      <c r="G1" s="110"/>
    </row>
    <row r="2" spans="1:7" ht="45" customHeight="1" x14ac:dyDescent="0.2">
      <c r="A2" s="108">
        <f>'Physics 34 2026'!B3</f>
        <v>46055</v>
      </c>
      <c r="B2" s="117" t="str">
        <f>'Physics 34 2026'!U3</f>
        <v>No classes</v>
      </c>
      <c r="C2" s="117" t="str">
        <f>'Physics 34 2026'!V3</f>
        <v>No classes</v>
      </c>
      <c r="D2" s="121" t="str">
        <f>'Physics 34 2026'!W3</f>
        <v>Summer work</v>
      </c>
      <c r="E2" s="121" t="str">
        <f>'Physics 34 2026'!X3</f>
        <v>1A.1 free-body diagrams &amp; net force</v>
      </c>
      <c r="F2" s="126" t="s">
        <v>5</v>
      </c>
      <c r="G2" s="110"/>
    </row>
    <row r="3" spans="1:7" ht="45" customHeight="1" x14ac:dyDescent="0.2">
      <c r="A3" s="108">
        <f>'Physics 34 2026'!B4</f>
        <v>46062</v>
      </c>
      <c r="B3" s="121" t="str">
        <f>'Physics 34 2026'!U4</f>
        <v>1A.2 F=ma calculations</v>
      </c>
      <c r="C3" s="121" t="str">
        <f>'Physics 34 2026'!V4</f>
        <v>1A.3 action-reaction pairs &amp; 1B.1 centripetal force/accel direction</v>
      </c>
      <c r="D3" s="121" t="str">
        <f>'Physics 34 2026'!W4</f>
        <v>1B.2 Fnet=mv²/r, a=v²/r</v>
      </c>
      <c r="E3" s="121" t="str">
        <f>'Physics 34 2026'!X4</f>
        <v>1B.3 banked track FBDs &amp; 1B.4 normal force as Fc on banks</v>
      </c>
      <c r="F3" s="121" t="str">
        <f>'Physics 34 2026'!Y4</f>
        <v>1B.5 Fnet=mg tan θ</v>
      </c>
      <c r="G3" s="110"/>
    </row>
    <row r="4" spans="1:7" ht="45" customHeight="1" x14ac:dyDescent="0.2">
      <c r="A4" s="108">
        <f>'Physics 34 2026'!B5</f>
        <v>46069</v>
      </c>
      <c r="B4" s="121" t="str">
        <f>'Physics 34 2026'!U5</f>
        <v>1B.6 vertical circular FBDs &amp; 1B.7 N/T &amp; Fc equations (vertical)</v>
      </c>
      <c r="C4" s="121" t="str">
        <f>'Physics 34 2026'!V5</f>
        <v>1B.8 v=2πr/T, T=1/f &amp; 1C.1 projectile path &amp; air resistance</v>
      </c>
      <c r="D4" s="121" t="str">
        <f>'Physics 34 2026'!W5</f>
        <v>1C.2 projectile component calcs</v>
      </c>
      <c r="E4" s="121" t="str">
        <f>'Physics 34 2026'!X5</f>
        <v>2A.1 W=Fs cos θ &amp; 2A.2 work needs parallel force</v>
      </c>
      <c r="F4" s="126" t="s">
        <v>5</v>
      </c>
      <c r="G4" s="110"/>
    </row>
    <row r="5" spans="1:7" ht="45" customHeight="1" x14ac:dyDescent="0.2">
      <c r="A5" s="108">
        <f>'Physics 34 2026'!B6</f>
        <v>46076</v>
      </c>
      <c r="B5" s="117" t="str">
        <f>'Physics 34 2026'!U6</f>
        <v>Swim</v>
      </c>
      <c r="C5" s="117" t="str">
        <f>'Physics 34 2026'!V6</f>
        <v>Swim</v>
      </c>
      <c r="D5" s="121" t="str">
        <f>'Physics 34 2026'!W6</f>
        <v>2A.3 work from F-s graph &amp; 2A.4 energy conservation</v>
      </c>
      <c r="E5" s="121" t="str">
        <f>'Physics 34 2026'!X6</f>
        <v>2A.5 Ek=½mv², Eg=mgΔh</v>
      </c>
      <c r="F5" s="121" t="str">
        <f>'Physics 34 2026'!Y6</f>
        <v>2A.6 Ek↔Eg transformations</v>
      </c>
      <c r="G5" s="110"/>
    </row>
    <row r="6" spans="1:7" ht="45" customHeight="1" x14ac:dyDescent="0.2">
      <c r="A6" s="108">
        <f>'Physics 34 2026'!B7</f>
        <v>46083</v>
      </c>
      <c r="B6" s="121" t="str">
        <f>'Physics 34 2026'!U7</f>
        <v>2B.1 p=mv &amp; 2B.2 momentum conservation</v>
      </c>
      <c r="C6" s="121" t="str">
        <f>'Physics 34 2026'!V7</f>
        <v>2B.3 elastic vs inelastic</v>
      </c>
      <c r="D6" s="121" t="str">
        <f>'Physics 34 2026'!W7</f>
        <v>2B.4 I=Δp=mΔv=FΔt &amp; 2B.5 impulse from F-t graph</v>
      </c>
      <c r="E6" s="121" t="str">
        <f>'Physics 34 2026'!X7</f>
        <v>Luna Park</v>
      </c>
      <c r="F6" s="126" t="s">
        <v>5</v>
      </c>
      <c r="G6" s="110"/>
    </row>
    <row r="7" spans="1:7" ht="45" customHeight="1" x14ac:dyDescent="0.2">
      <c r="A7" s="108">
        <f>'Physics 34 2026'!B8</f>
        <v>46090</v>
      </c>
      <c r="B7" s="121" t="str">
        <f>'Physics 34 2026'!U8</f>
        <v>2C.1 k &amp; Es from F-x graphs &amp; 2C.2 F=–kx, Es=½kx²</v>
      </c>
      <c r="C7" s="121" t="str">
        <f>'Physics 34 2026'!V8</f>
        <v>2C.3 spring energy transforms &amp; 2C.4 oscillating spring energy &amp; 2C.5 mg=kx equilibrium</v>
      </c>
      <c r="D7" s="121" t="str">
        <f>'Physics 34 2026'!W8</f>
        <v>Catchup / Assessment</v>
      </c>
      <c r="E7" s="122" t="str">
        <f>'Physics 34 2026'!X8</f>
        <v>3B.1 Eg=mgΔh &amp; 3B.2 GPE from graphs</v>
      </c>
      <c r="F7" s="122" t="str">
        <f>'Physics 34 2026'!Y8</f>
        <v>3A.1 g-field shape &amp; monopole &amp; 3A.2 inverse square (gravity)</v>
      </c>
      <c r="G7" s="110"/>
    </row>
    <row r="8" spans="1:7" ht="45" customHeight="1" x14ac:dyDescent="0.2">
      <c r="A8" s="108">
        <f>'Physics 34 2026'!B9</f>
        <v>46097</v>
      </c>
      <c r="B8" s="122" t="str">
        <f>'Physics 34 2026'!V9</f>
        <v>3C.1 Fg &amp; FN for satellites &amp; 3C.2 a=v²/r=4π²r/T²</v>
      </c>
      <c r="C8" s="122" t="str">
        <f>'Physics 34 2026'!W9</f>
        <v>4A.1 electric field model &amp; 4A.2 E-field comparisons</v>
      </c>
      <c r="D8" s="122" t="str">
        <f>'Physics 34 2026'!X9</f>
        <v>4A.3 E-field shape &amp; direction &amp; 4A.4 inverse square (electric)</v>
      </c>
      <c r="E8" s="122" t="str">
        <f>'Physics 34 2026'!X9</f>
        <v>4A.3 E-field shape &amp; direction &amp; 4A.4 inverse square (electric)</v>
      </c>
      <c r="F8" s="126" t="s">
        <v>5</v>
      </c>
      <c r="G8" s="110"/>
    </row>
    <row r="9" spans="1:7" ht="45" customHeight="1" x14ac:dyDescent="0.2">
      <c r="A9" s="111">
        <f>'Physics 34 2026'!B10</f>
        <v>46104</v>
      </c>
      <c r="B9" s="122" t="str">
        <f>'Physics 34 2026'!U10</f>
        <v>4A.5 PE changes (qualitative) &amp; 4A.6 static/changing, uniform/non</v>
      </c>
      <c r="C9" s="122" t="str">
        <f>'Physics 34 2026'!V10</f>
        <v>4A.7 E=kQ/r², E=V/d</v>
      </c>
      <c r="D9" s="122" t="str">
        <f>'Physics 34 2026'!W10</f>
        <v>4A.8 F=kq₁q₂/r²</v>
      </c>
      <c r="E9" s="122" t="str">
        <f>'Physics 34 2026'!X10</f>
        <v>4A.9 W=qV</v>
      </c>
      <c r="F9" s="122" t="str">
        <f>'Physics 34 2026'!Y10</f>
        <v>4A.10 F=qE</v>
      </c>
      <c r="G9" s="110"/>
    </row>
    <row r="10" spans="1:7" ht="45" customHeight="1" x14ac:dyDescent="0.2">
      <c r="A10" s="112">
        <f>'Physics 34 2026'!B11</f>
        <v>46111</v>
      </c>
      <c r="B10" s="117" t="str">
        <f>'Physics 34 2026'!U11</f>
        <v>Aths</v>
      </c>
      <c r="C10" s="117" t="str">
        <f>'Physics 34 2026'!V11</f>
        <v>Aths</v>
      </c>
      <c r="D10" s="122" t="str">
        <f>'Physics 34 2026'!W11</f>
        <v>4B.1 magnetic field model &amp; 4B.2 B-field comparisons</v>
      </c>
      <c r="E10" s="122" t="str">
        <f>'Physics 34 2026'!X11</f>
        <v>4B.3 B-fields: magnets/wires/solenoids &amp; 4B.4 field interactions</v>
      </c>
      <c r="F10" s="126" t="s">
        <v>5</v>
      </c>
      <c r="G10" s="110"/>
    </row>
    <row r="11" spans="1:7" ht="45" customHeight="1" x14ac:dyDescent="0.2">
      <c r="A11" s="119" t="s">
        <v>6</v>
      </c>
      <c r="B11" s="119" t="s">
        <v>6</v>
      </c>
      <c r="C11" s="119" t="s">
        <v>6</v>
      </c>
      <c r="D11" s="119" t="s">
        <v>6</v>
      </c>
      <c r="E11" s="119" t="s">
        <v>6</v>
      </c>
      <c r="F11" s="119" t="s">
        <v>6</v>
      </c>
      <c r="G11" s="110"/>
    </row>
    <row r="12" spans="1:7" ht="45" customHeight="1" x14ac:dyDescent="0.2">
      <c r="A12" s="108">
        <f>'Physics 34 2026'!B13</f>
        <v>46132</v>
      </c>
      <c r="B12" s="122" t="str">
        <f>'Physics 34 2026'!U13</f>
        <v>4B.5 F=nIlB</v>
      </c>
      <c r="C12" s="122" t="str">
        <f>'Physics 34 2026'!V13</f>
        <v>4B.6 DC motor operation &amp; 4B.7 motor torque factors</v>
      </c>
      <c r="D12" s="122" t="str">
        <f>'Physics 34 2026'!W13</f>
        <v>4B.8 F=qvB, qvB=mv²/r</v>
      </c>
      <c r="E12" s="122" t="str">
        <f>'Physics 34 2026'!X13</f>
        <v>4B.9 accelerators &amp; UCM</v>
      </c>
      <c r="F12" s="123" t="str">
        <f>'Physics 34 2026'!Y13</f>
        <v>5A.1 PV cell DC production &amp; 5A.2 PV energy transforms</v>
      </c>
      <c r="G12" s="110"/>
    </row>
    <row r="13" spans="1:7" ht="45" customHeight="1" x14ac:dyDescent="0.2">
      <c r="A13" s="108">
        <f>'Physics 34 2026'!B14</f>
        <v>46139</v>
      </c>
      <c r="B13" s="123" t="str">
        <f>'Physics 34 2026'!U14</f>
        <v>5A.3 inverter function &amp; 5A.4 series/parallel PV panels</v>
      </c>
      <c r="C13" s="123" t="str">
        <f>'Physics 34 2026'!V14</f>
        <v>5B.1 induced emf situations &amp; 5B.2 ΦB=B⊥A, Wb units</v>
      </c>
      <c r="D13" s="123" t="str">
        <f>'Physics 34 2026'!W14</f>
        <v>5B.3 EM induction explanation</v>
      </c>
      <c r="E13" s="123" t="str">
        <f>'Physics 34 2026'!X14</f>
        <v>5B.4 ε=−NΔΦ/Δt</v>
      </c>
      <c r="F13" s="126" t="s">
        <v>5</v>
      </c>
      <c r="G13" s="110"/>
    </row>
    <row r="14" spans="1:7" ht="45" customHeight="1" x14ac:dyDescent="0.2">
      <c r="A14" s="108">
        <f>'Physics 34 2026'!B15</f>
        <v>46146</v>
      </c>
      <c r="B14" s="123" t="str">
        <f>'Physics 34 2026'!U15</f>
        <v>5B.5 Lenz's law</v>
      </c>
      <c r="C14" s="123" t="str">
        <f>'Physics 34 2026'!V15</f>
        <v>5B.6 induced I needs circuit &amp; 5C.1 DC generator operation</v>
      </c>
      <c r="D14" s="123" t="str">
        <f>'Physics 34 2026'!W15</f>
        <v>5C.2 split ring commutator role &amp; 5C.3 DC V-t graph shape</v>
      </c>
      <c r="E14" s="123" t="str">
        <f>'Physics 34 2026'!X15</f>
        <v>5C.4 V-t graphs vs coil number &amp; 5D.1 AC generator operation</v>
      </c>
      <c r="F14" s="123" t="str">
        <f>'Physics 34 2026'!Y15</f>
        <v>5D.2 slip rings role &amp; 5D.3 sinusoidal V-t analysis</v>
      </c>
      <c r="G14" s="110"/>
    </row>
    <row r="15" spans="1:7" ht="45" customHeight="1" x14ac:dyDescent="0.2">
      <c r="A15" s="108">
        <f>'Physics 34 2026'!B16</f>
        <v>46153</v>
      </c>
      <c r="B15" s="123" t="str">
        <f>'Physics 34 2026'!U16</f>
        <v>6A.1 Vrms=Vp/√2</v>
      </c>
      <c r="C15" s="123" t="str">
        <f>'Physics 34 2026'!V16</f>
        <v>6A.2 Irms=Ip/√2 &amp; 6A.3 P=VrmsIrms</v>
      </c>
      <c r="D15" s="123" t="str">
        <f>'Physics 34 2026'!W16</f>
        <v>6B.1 transformers &amp; flux &amp; 6B.2 step-up/step-down</v>
      </c>
      <c r="E15" s="123" t="str">
        <f>'Physics 34 2026'!X16</f>
        <v>6B.3 ideal vs real transformers &amp; 6B.4 N₁/N₂=V₁/V₂=I₂/I₁</v>
      </c>
      <c r="F15" s="126" t="s">
        <v>5</v>
      </c>
      <c r="G15" s="110"/>
    </row>
    <row r="16" spans="1:7" ht="45" customHeight="1" x14ac:dyDescent="0.2">
      <c r="A16" s="108">
        <f>'Physics 34 2026'!B17</f>
        <v>46160</v>
      </c>
      <c r="B16" s="123" t="str">
        <f>'Physics 34 2026'!U17</f>
        <v>6B.5 turns ratio calcs</v>
      </c>
      <c r="C16" s="123" t="str">
        <f>'Physics 34 2026'!V17</f>
        <v>6C.1 P=I²R, E=I²Rt</v>
      </c>
      <c r="D16" s="123" t="str">
        <f>'Physics 34 2026'!W17</f>
        <v>6C.2 transmission losses</v>
      </c>
      <c r="E16" s="123" t="str">
        <f>'Physics 34 2026'!X17</f>
        <v>Catchup / Assessment</v>
      </c>
      <c r="F16" s="123" t="str">
        <f>'Physics 34 2026'!Y17</f>
        <v>Catchup / Assessment</v>
      </c>
      <c r="G16" s="110"/>
    </row>
    <row r="17" spans="1:6" ht="45" customHeight="1" x14ac:dyDescent="0.2">
      <c r="A17" s="108">
        <f>'Physics 34 2026'!B18</f>
        <v>46167</v>
      </c>
      <c r="B17" s="124" t="str">
        <f>'Physics 34 2026'!U18</f>
        <v>7A.1 accel charges → EM waves &amp; 7A.2 EM waves: E⊥B at c</v>
      </c>
      <c r="C17" s="124" t="str">
        <f>'Physics 34 2026'!V18</f>
        <v>7A.3 superposition → standing waves</v>
      </c>
      <c r="D17" s="124" t="str">
        <f>'Physics 34 2026'!W18</f>
        <v>7A.4 standing wave analysis</v>
      </c>
      <c r="E17" s="124" t="str">
        <f>'Physics 34 2026'!X18</f>
        <v>7A.5 diffraction &amp; gap width &amp; 7A.6 λ/w ratio &amp; imaging</v>
      </c>
      <c r="F17" s="126" t="s">
        <v>5</v>
      </c>
    </row>
    <row r="18" spans="1:6" ht="45" customHeight="1" x14ac:dyDescent="0.2">
      <c r="A18" s="108">
        <f>'Physics 34 2026'!B19</f>
        <v>46174</v>
      </c>
      <c r="B18" s="124" t="str">
        <f>'Physics 34 2026'!U19</f>
        <v>7A.7 Young's double slit</v>
      </c>
      <c r="C18" s="124" t="str">
        <f>'Physics 34 2026'!V19</f>
        <v>7A.8 path diff: nλ, (n+½)λ</v>
      </c>
      <c r="D18" s="124" t="str">
        <f>'Physics 34 2026'!W19</f>
        <v>7A.9 Δx=λL/d</v>
      </c>
      <c r="E18" s="124" t="str">
        <f>'Physics 34 2026'!X19</f>
        <v>7B.1 E=hf=hc/λ</v>
      </c>
      <c r="F18" s="124" t="str">
        <f>'Physics 34 2026'!Y19</f>
        <v>7B.2 photoelectric evidence</v>
      </c>
    </row>
    <row r="19" spans="1:6" ht="45" customHeight="1" x14ac:dyDescent="0.2">
      <c r="A19" s="108">
        <f>'Physics 34 2026'!B20</f>
        <v>46181</v>
      </c>
      <c r="B19" s="117" t="str">
        <f>'Physics 34 2026'!U20</f>
        <v>King's Birthday</v>
      </c>
      <c r="C19" s="117" t="str">
        <f>'Physics 34 2026'!V20</f>
        <v>King's Birthday</v>
      </c>
      <c r="D19" s="124" t="str">
        <f>'Physics 34 2026'!W20</f>
        <v>7B.3 photoelectric graphs</v>
      </c>
      <c r="E19" s="124" t="str">
        <f>'Physics 34 2026'!X20</f>
        <v>8A.1 electron diffraction patterns</v>
      </c>
      <c r="F19" s="126" t="s">
        <v>5</v>
      </c>
    </row>
    <row r="20" spans="1:6" ht="45" customHeight="1" x14ac:dyDescent="0.2">
      <c r="A20" s="108">
        <f>'Physics 34 2026'!B21</f>
        <v>46188</v>
      </c>
      <c r="B20" s="124" t="str">
        <f>'Physics 34 2026'!U21</f>
        <v>8A.2 diffraction → wave nature</v>
      </c>
      <c r="C20" s="124" t="str">
        <f>'Physics 34 2026'!V21</f>
        <v>8A.3 photon vs electron patterns</v>
      </c>
      <c r="D20" s="117" t="str">
        <f>'Physics 34 2026'!W21</f>
        <v>GAT</v>
      </c>
      <c r="E20" s="124" t="str">
        <f>'Physics 34 2026'!X21</f>
        <v>8A.4 λ=h/p</v>
      </c>
      <c r="F20" s="124" t="str">
        <f>'Physics 34 2026'!Y21</f>
        <v>8B.1 quantisation concepts &amp; 8B.2 p=h/λ</v>
      </c>
    </row>
    <row r="21" spans="1:6" ht="45" customHeight="1" x14ac:dyDescent="0.2">
      <c r="A21" s="108">
        <f>'Physics 34 2026'!B22</f>
        <v>46195</v>
      </c>
      <c r="B21" s="124" t="str">
        <f>'Physics 34 2026'!U22</f>
        <v>8B.3 photon vs matter momentum &amp; 8B.4 emission spectra</v>
      </c>
      <c r="C21" s="117" t="str">
        <f>'Physics 34 2026'!V22</f>
        <v>HPA</v>
      </c>
      <c r="D21" s="117" t="str">
        <f>'Physics 34 2026'!W22</f>
        <v>HPA</v>
      </c>
      <c r="E21" s="117" t="str">
        <f>'Physics 34 2026'!X22</f>
        <v>HPA</v>
      </c>
      <c r="F21" s="126" t="s">
        <v>5</v>
      </c>
    </row>
    <row r="22" spans="1:6" ht="45" customHeight="1" x14ac:dyDescent="0.2">
      <c r="A22" s="119" t="s">
        <v>6</v>
      </c>
      <c r="B22" s="119" t="s">
        <v>6</v>
      </c>
      <c r="C22" s="119" t="s">
        <v>6</v>
      </c>
      <c r="D22" s="119" t="s">
        <v>6</v>
      </c>
      <c r="E22" s="119" t="s">
        <v>6</v>
      </c>
      <c r="F22" s="119" t="s">
        <v>6</v>
      </c>
    </row>
    <row r="23" spans="1:6" ht="45" customHeight="1" x14ac:dyDescent="0.2">
      <c r="A23" s="108">
        <f>'Physics 34 2026'!B24</f>
        <v>46223</v>
      </c>
      <c r="B23" s="124" t="str">
        <f>'Physics 34 2026'!U24</f>
        <v>8B.5 absorption spectra</v>
      </c>
      <c r="C23" s="124" t="str">
        <f>'Physics 34 2026'!V24</f>
        <v>8B.6 ΔE=hc/λ from spectra</v>
      </c>
      <c r="D23" s="124" t="str">
        <f>'Physics 34 2026'!W24</f>
        <v>8B.7 ΔE=hf transitions</v>
      </c>
      <c r="E23" s="124" t="str">
        <f>'Physics 34 2026'!X24</f>
        <v>8B.8 single particle duality</v>
      </c>
      <c r="F23" s="124" t="str">
        <f>'Physics 34 2026'!Y24</f>
        <v>9A.1 inertial frames &amp; 9A.2 inertial vs non-inertial</v>
      </c>
    </row>
    <row r="24" spans="1:6" ht="45" customHeight="1" x14ac:dyDescent="0.2">
      <c r="A24" s="108">
        <f>'Physics 34 2026'!B25</f>
        <v>46230</v>
      </c>
      <c r="B24" s="124" t="str">
        <f>'Physics 34 2026'!U25</f>
        <v>9A.3 relativity concept</v>
      </c>
      <c r="C24" s="124" t="str">
        <f>'Physics 34 2026'!V25</f>
        <v>9A.4 SR postulates</v>
      </c>
      <c r="D24" s="124" t="str">
        <f>'Physics 34 2026'!W25</f>
        <v>9A.5 Michelson-Morley &amp; aether &amp; 9A.6 SR vs classical</v>
      </c>
      <c r="E24" s="124" t="str">
        <f>'Physics 34 2026'!X25</f>
        <v>9B.1 proper time t₀ &amp; 9B.2 dilated time t</v>
      </c>
      <c r="F24" s="126" t="s">
        <v>5</v>
      </c>
    </row>
    <row r="25" spans="1:6" ht="45" customHeight="1" x14ac:dyDescent="0.2">
      <c r="A25" s="108">
        <f>'Physics 34 2026'!B26</f>
        <v>46237</v>
      </c>
      <c r="B25" s="124" t="str">
        <f>'Physics 34 2026'!U26</f>
        <v>9B.3 proper length L₀ &amp; 9B.4 identify proper length</v>
      </c>
      <c r="C25" s="124" t="str">
        <f>'Physics 34 2026'!V26</f>
        <v>9B.5 contraction direction</v>
      </c>
      <c r="D25" s="124" t="str">
        <f>'Physics 34 2026'!W26</f>
        <v>9B.6 L=L₀/γ, t=t₀γ</v>
      </c>
      <c r="E25" s="124" t="str">
        <f>'Physics 34 2026'!X26</f>
        <v>9B.7 accelerators &amp; l.c. &amp; 9B.8 GPS &amp; time dilation</v>
      </c>
      <c r="F25" s="124" t="str">
        <f>'Physics 34 2026'!Y26</f>
        <v>9B.9 speed effects on t,L &amp; 9C.1 muon t dilation (Earth)</v>
      </c>
    </row>
    <row r="26" spans="1:6" ht="45" customHeight="1" x14ac:dyDescent="0.2">
      <c r="A26" s="108">
        <f>'Physics 34 2026'!B27</f>
        <v>46244</v>
      </c>
      <c r="B26" s="124" t="str">
        <f>'Physics 34 2026'!U27</f>
        <v>9C.2 muon l.c. (muon frame) &amp; 9D.1 E=mc²</v>
      </c>
      <c r="C26" s="124" t="str">
        <f>'Physics 34 2026'!V27</f>
        <v>9D.2 Etot=γmc², Ek=(γ–1)mc²</v>
      </c>
      <c r="D26" s="124" t="str">
        <f>'Physics 34 2026'!W27</f>
        <v>9D.3 ΔE=Δmc² &amp; 9D.4 accelerators → new elements &amp; 9D.5 γ vs v graph</v>
      </c>
      <c r="E26" s="124" t="str">
        <f>'Physics 34 2026'!X27</f>
        <v>Catchup / Assessment</v>
      </c>
      <c r="F26" s="126" t="s">
        <v>5</v>
      </c>
    </row>
    <row r="27" spans="1:6" ht="45" customHeight="1" x14ac:dyDescent="0.2">
      <c r="A27" s="108">
        <f>'Physics 34 2026'!B28</f>
        <v>46251</v>
      </c>
      <c r="B27" s="124" t="str">
        <f>'Physics 34 2026'!U28</f>
        <v>Catchup / Assessment</v>
      </c>
      <c r="C27" s="124" t="str">
        <f>'Physics 34 2026'!V28</f>
        <v>Catchup / Assessment</v>
      </c>
      <c r="D27" s="109" t="str">
        <f>'Physics 34 2026'!W28</f>
        <v>Investigation planning</v>
      </c>
      <c r="E27" s="109" t="str">
        <f>'Physics 34 2026'!X28</f>
        <v>Investigation planning</v>
      </c>
      <c r="F27" s="109" t="str">
        <f>'Physics 34 2026'!Y28</f>
        <v>Investigation planning</v>
      </c>
    </row>
    <row r="28" spans="1:6" ht="45" customHeight="1" x14ac:dyDescent="0.2">
      <c r="A28" s="108">
        <f>'Physics 34 2026'!B29</f>
        <v>46258</v>
      </c>
      <c r="B28" s="125" t="str">
        <f>'Physics 34 2026'!U29</f>
        <v>9 Periods SAC Investigation SACU4AOS2</v>
      </c>
      <c r="C28" s="125" t="str">
        <f>'Physics 34 2026'!V29</f>
        <v>Investigation</v>
      </c>
      <c r="D28" s="125" t="str">
        <f>'Physics 34 2026'!W29</f>
        <v>Investigation</v>
      </c>
      <c r="E28" s="125" t="str">
        <f>'Physics 34 2026'!X29</f>
        <v>Investigation</v>
      </c>
      <c r="F28" s="117" t="str">
        <f>IF('Physics 34 2026'!Y29="No class","",'Physics 34 2026'!Y29)</f>
        <v/>
      </c>
    </row>
    <row r="29" spans="1:6" ht="45" customHeight="1" x14ac:dyDescent="0.2">
      <c r="A29" s="108">
        <f>'Physics 34 2026'!B30</f>
        <v>46265</v>
      </c>
      <c r="B29" s="125" t="str">
        <f>'Physics 34 2026'!U30</f>
        <v>Investigation</v>
      </c>
      <c r="C29" s="125" t="str">
        <f>'Physics 34 2026'!V30</f>
        <v>Investigation</v>
      </c>
      <c r="D29" s="125" t="str">
        <f>'Physics 34 2026'!W30</f>
        <v>Investigation</v>
      </c>
      <c r="E29" s="125" t="str">
        <f>'Physics 34 2026'!X30</f>
        <v>Investigation</v>
      </c>
      <c r="F29" s="125" t="str">
        <f>'Physics 34 2026'!Y30</f>
        <v>Investigation</v>
      </c>
    </row>
    <row r="30" spans="1:6" ht="45" customHeight="1" x14ac:dyDescent="0.2">
      <c r="A30" s="108">
        <f>'Physics 34 2026'!B31</f>
        <v>46272</v>
      </c>
      <c r="B30" s="109" t="str">
        <f>'Physics 34 2026'!U31</f>
        <v>Practice Exams</v>
      </c>
      <c r="C30" s="109" t="str">
        <f>'Physics 34 2026'!V31</f>
        <v>Practice Exams</v>
      </c>
      <c r="D30" s="109" t="str">
        <f>'Physics 34 2026'!W31</f>
        <v>Practice Exams</v>
      </c>
      <c r="E30" s="109" t="str">
        <f>'Physics 34 2026'!X31</f>
        <v>Practice Exams</v>
      </c>
      <c r="F30" s="117" t="str">
        <f>IF('Physics 34 2026'!Y31="No class","",'Physics 34 2026'!Y31)</f>
        <v/>
      </c>
    </row>
    <row r="31" spans="1:6" ht="45" customHeight="1" x14ac:dyDescent="0.2">
      <c r="A31" s="108">
        <f>'Physics 34 2026'!B32</f>
        <v>46279</v>
      </c>
      <c r="B31" s="109" t="str">
        <f>'Physics 34 2026'!U32</f>
        <v>Practice Exams</v>
      </c>
      <c r="C31" s="109" t="str">
        <f>'Physics 34 2026'!V32</f>
        <v>Practice Exams</v>
      </c>
      <c r="D31" s="109" t="str">
        <f>'Physics 34 2026'!W32</f>
        <v>Practice Exams</v>
      </c>
      <c r="E31" s="109" t="str">
        <f>'Physics 34 2026'!X32</f>
        <v>Practice Exams</v>
      </c>
      <c r="F31" s="109" t="str">
        <f>'Physics 34 2026'!Y32</f>
        <v>Practice Exams</v>
      </c>
    </row>
    <row r="32" spans="1:6" ht="45" customHeight="1" x14ac:dyDescent="0.2">
      <c r="A32" s="118" t="s">
        <v>7</v>
      </c>
      <c r="B32" s="118" t="s">
        <v>7</v>
      </c>
      <c r="C32" s="118" t="s">
        <v>7</v>
      </c>
      <c r="D32" s="118" t="s">
        <v>7</v>
      </c>
      <c r="E32" s="118" t="s">
        <v>7</v>
      </c>
      <c r="F32" s="118" t="s">
        <v>7</v>
      </c>
    </row>
    <row r="33" spans="1:6" ht="45" customHeight="1" x14ac:dyDescent="0.2">
      <c r="A33" s="108">
        <f>'Physics 34 2026'!B34</f>
        <v>46300</v>
      </c>
      <c r="B33" s="109" t="str">
        <f>'Physics 34 2026'!U34</f>
        <v>Practice Exams</v>
      </c>
      <c r="C33" s="109" t="str">
        <f>'Physics 34 2026'!V34</f>
        <v>Practice Exams</v>
      </c>
      <c r="D33" s="109" t="str">
        <f>'Physics 34 2026'!W34</f>
        <v>Practice Exams</v>
      </c>
      <c r="E33" s="109" t="str">
        <f>'Physics 34 2026'!X34</f>
        <v>Practice Exams</v>
      </c>
      <c r="F33" s="117" t="str">
        <f>IF('Physics 34 2026'!Y34="No class","",'Physics 34 2026'!Y34)</f>
        <v/>
      </c>
    </row>
    <row r="34" spans="1:6" ht="45" customHeight="1" x14ac:dyDescent="0.2">
      <c r="A34" s="108">
        <f>'Physics 34 2026'!B35</f>
        <v>46307</v>
      </c>
      <c r="B34" s="109" t="str">
        <f>'Physics 34 2026'!U35</f>
        <v>Practice Exams</v>
      </c>
      <c r="C34" s="109" t="str">
        <f>'Physics 34 2026'!V35</f>
        <v>Practice Exams</v>
      </c>
      <c r="D34" s="109" t="str">
        <f>'Physics 34 2026'!W35</f>
        <v>Practice Exams</v>
      </c>
      <c r="E34" s="109" t="str">
        <f>'Physics 34 2026'!X35</f>
        <v>Practice Exams</v>
      </c>
      <c r="F34" s="109" t="str">
        <f>'Physics 34 2026'!Y35</f>
        <v>Practice Exams</v>
      </c>
    </row>
    <row r="35" spans="1:6" ht="45" customHeight="1" x14ac:dyDescent="0.2">
      <c r="A35" s="108">
        <f>'Physics 34 2026'!B36</f>
        <v>46314</v>
      </c>
      <c r="B35" s="109" t="str">
        <f>'Physics 34 2026'!U36</f>
        <v>12 Val</v>
      </c>
      <c r="C35" s="109"/>
      <c r="D35" s="109"/>
      <c r="E35" s="109"/>
      <c r="F35" s="109"/>
    </row>
    <row r="36" spans="1:6" ht="45" customHeight="1" x14ac:dyDescent="0.2">
      <c r="A36" s="108">
        <f>'Physics 34 2026'!B37</f>
        <v>46321</v>
      </c>
      <c r="B36" s="109"/>
      <c r="C36" s="109"/>
      <c r="D36" s="109"/>
      <c r="E36" s="109"/>
      <c r="F36" s="109"/>
    </row>
    <row r="37" spans="1:6" ht="45" customHeight="1" x14ac:dyDescent="0.2">
      <c r="A37" s="108">
        <f>'Physics 34 2026'!B38</f>
        <v>46328</v>
      </c>
      <c r="B37" s="109" t="str">
        <f>'Physics 34 2026'!U38</f>
        <v>Cup Weekend</v>
      </c>
      <c r="C37" s="109" t="str">
        <f>'Physics 34 2026'!V38</f>
        <v>Cup Weekend</v>
      </c>
      <c r="D37" s="109" t="str">
        <f>'Physics 34 2026'!W38</f>
        <v>Cup Weekend</v>
      </c>
      <c r="E37" s="109"/>
      <c r="F37" s="109"/>
    </row>
    <row r="38" spans="1:6" ht="45" customHeight="1" x14ac:dyDescent="0.2">
      <c r="A38" s="108">
        <f>'Physics 34 2026'!B39</f>
        <v>46335</v>
      </c>
      <c r="B38" s="109"/>
      <c r="C38" s="109"/>
      <c r="D38" s="109"/>
      <c r="E38" s="109"/>
      <c r="F38" s="10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2" style="107" customWidth="1"/>
    <col min="2" max="4" width="30" style="107" customWidth="1"/>
    <col min="5" max="5" width="30" customWidth="1"/>
    <col min="6" max="6" width="30" style="115" customWidth="1"/>
    <col min="7" max="8" width="8.83203125" style="107" customWidth="1"/>
    <col min="9" max="16384" width="8.83203125" style="107"/>
  </cols>
  <sheetData>
    <row r="1" spans="1:6" ht="16" customHeight="1" x14ac:dyDescent="0.2">
      <c r="A1" s="106" t="s">
        <v>0</v>
      </c>
      <c r="B1" s="106" t="s">
        <v>8</v>
      </c>
      <c r="C1" s="106" t="s">
        <v>9</v>
      </c>
      <c r="D1" s="106" t="s">
        <v>2</v>
      </c>
      <c r="E1" s="106" t="s">
        <v>3</v>
      </c>
      <c r="F1" s="113" t="s">
        <v>3</v>
      </c>
    </row>
    <row r="2" spans="1:6" ht="45" customHeight="1" x14ac:dyDescent="0.2">
      <c r="A2" s="108">
        <f>'Physics 34 2026'!B3</f>
        <v>46055</v>
      </c>
      <c r="B2" s="117" t="str">
        <f>'Physics 34 2026'!J3</f>
        <v>No classes</v>
      </c>
      <c r="C2" s="117" t="str">
        <f>'Physics 34 2026'!K3</f>
        <v>No classes</v>
      </c>
      <c r="D2" s="121" t="str">
        <f>'Physics 34 2026'!L3</f>
        <v>1A.1 free-body diagrams &amp; net force</v>
      </c>
      <c r="E2" s="121" t="str">
        <f>'Physics 34 2026'!M3</f>
        <v>1A.2 F=ma calculations</v>
      </c>
      <c r="F2" s="121" t="str">
        <f>'Physics 34 2026'!N3</f>
        <v>1A.3 action-reaction pairs &amp; 1B.1 centripetal force/accel direction</v>
      </c>
    </row>
    <row r="3" spans="1:6" ht="45" customHeight="1" x14ac:dyDescent="0.2">
      <c r="A3" s="108">
        <f>'Physics 34 2026'!B4</f>
        <v>46062</v>
      </c>
      <c r="B3" s="121" t="str">
        <f>'Physics 34 2026'!J4</f>
        <v>1B.2 Fnet=mv²/r, a=v²/r</v>
      </c>
      <c r="C3" s="117" t="str">
        <f>'Physics 34 2026'!K4</f>
        <v>No class</v>
      </c>
      <c r="D3" s="121" t="str">
        <f>'Physics 34 2026'!L4</f>
        <v>1B.3 banked track FBDs &amp; 1B.4 normal force as Fc on banks</v>
      </c>
      <c r="E3" s="121" t="str">
        <f>'Physics 34 2026'!M4</f>
        <v>1B.5 Fnet=mg tan θ</v>
      </c>
      <c r="F3" s="121" t="str">
        <f>'Physics 34 2026'!N4</f>
        <v>1B.6 vertical circular FBDs &amp; 1B.7 N/T &amp; Fc equations (vertical)</v>
      </c>
    </row>
    <row r="4" spans="1:6" ht="45" customHeight="1" x14ac:dyDescent="0.2">
      <c r="A4" s="108">
        <f>'Physics 34 2026'!B5</f>
        <v>46069</v>
      </c>
      <c r="B4" s="121" t="str">
        <f>'Physics 34 2026'!J5</f>
        <v>1B.8 v=2πr/T, T=1/f &amp; 1C.1 projectile path &amp; air resistance</v>
      </c>
      <c r="C4" s="121" t="str">
        <f>'Physics 34 2026'!K5</f>
        <v>1C.2 projectile component calcs</v>
      </c>
      <c r="D4" s="121" t="str">
        <f>'Physics 34 2026'!L5</f>
        <v>2A.1 W=Fs cos θ &amp; 2A.2 work needs parallel force</v>
      </c>
      <c r="E4" s="121" t="str">
        <f>'Physics 34 2026'!M5</f>
        <v>2A.3 work from F-s graph &amp; 2A.4 energy conservation</v>
      </c>
      <c r="F4" s="121" t="str">
        <f>'Physics 34 2026'!N5</f>
        <v>2A.5 Ek=½mv², Eg=mgΔh</v>
      </c>
    </row>
    <row r="5" spans="1:6" ht="45" customHeight="1" x14ac:dyDescent="0.2">
      <c r="A5" s="108">
        <f>'Physics 34 2026'!B6</f>
        <v>46076</v>
      </c>
      <c r="B5" s="121" t="str">
        <f>'Physics 34 2026'!J6</f>
        <v>2A.6 Ek↔Eg transformations</v>
      </c>
      <c r="C5" s="117" t="str">
        <f>'Physics 34 2026'!K6</f>
        <v>No class</v>
      </c>
      <c r="D5" s="121" t="str">
        <f>'Physics 34 2026'!L6</f>
        <v>2B.1 p=mv &amp; 2B.2 momentum conservation</v>
      </c>
      <c r="E5" s="121" t="str">
        <f>'Physics 34 2026'!M6</f>
        <v>2B.3 elastic vs inelastic</v>
      </c>
      <c r="F5" s="121" t="str">
        <f>'Physics 34 2026'!N6</f>
        <v>2B.4 I=Δp=mΔv=FΔt &amp; 2B.5 impulse from F-t graph</v>
      </c>
    </row>
    <row r="6" spans="1:6" ht="45" customHeight="1" x14ac:dyDescent="0.2">
      <c r="A6" s="108">
        <f>'Physics 34 2026'!B7</f>
        <v>46083</v>
      </c>
      <c r="B6" s="121" t="str">
        <f>'Physics 34 2026'!J7</f>
        <v>2C.1 k &amp; Es from F-x graphs &amp; 2C.2 F=–kx, Es=½kx²</v>
      </c>
      <c r="C6" s="121" t="str">
        <f>'Physics 34 2026'!K7</f>
        <v>2C.3 spring energy transforms &amp; 2C.4 oscillating spring energy &amp; 2C.5 mg=kx equilibrium</v>
      </c>
      <c r="D6" s="121" t="str">
        <f>'Physics 34 2026'!L7</f>
        <v>Catchup / Assessment</v>
      </c>
      <c r="E6" s="122" t="str">
        <f>'Physics 34 2026'!M7</f>
        <v>Luna Park</v>
      </c>
      <c r="F6" s="122" t="str">
        <f>'Physics 34 2026'!N7</f>
        <v>Luna Park</v>
      </c>
    </row>
    <row r="7" spans="1:6" ht="45" customHeight="1" x14ac:dyDescent="0.2">
      <c r="A7" s="108">
        <f>'Physics 34 2026'!B8</f>
        <v>46090</v>
      </c>
      <c r="B7" s="117" t="str">
        <f>'Physics 34 2026'!J8</f>
        <v>Labour Day</v>
      </c>
      <c r="C7" s="117" t="str">
        <f>'Physics 34 2026'!K8</f>
        <v>Labour Day</v>
      </c>
      <c r="D7" s="122" t="str">
        <f>'Physics 34 2026'!L8</f>
        <v>3A.1 g-field shape &amp; monopole &amp; 3A.2 inverse square (gravity)</v>
      </c>
      <c r="E7" s="122" t="str">
        <f>'Physics 34 2026'!M8</f>
        <v>3A.3 g=GM/r², Fg=Gm₁m₂/r²</v>
      </c>
      <c r="F7" s="122" t="str">
        <f>'Physics 34 2026'!N8</f>
        <v>4A.1 electric field model &amp; 4A.2 E-field comparisons</v>
      </c>
    </row>
    <row r="8" spans="1:6" ht="45" customHeight="1" x14ac:dyDescent="0.2">
      <c r="A8" s="108">
        <f>'Physics 34 2026'!B9</f>
        <v>46097</v>
      </c>
      <c r="B8" s="122" t="str">
        <f>'Physics 34 2026'!J9</f>
        <v>3B.1 Eg=mgΔh &amp; 3B.2 GPE from graphs</v>
      </c>
      <c r="C8" s="122" t="str">
        <f>'Physics 34 2026'!K9</f>
        <v>3C.1 Fg &amp; FN for satellites &amp; 3C.2 a=v²/r=4π²r/T²</v>
      </c>
      <c r="D8" s="122" t="str">
        <f>'Physics 34 2026'!L9</f>
        <v>4A.3 E-field shape &amp; direction &amp; 4A.4 inverse square (electric)</v>
      </c>
      <c r="E8" s="122" t="str">
        <f>'Physics 34 2026'!M9</f>
        <v>4A.5 PE changes (qualitative) &amp; 4A.6 static/changing, uniform/non</v>
      </c>
      <c r="F8" s="122" t="str">
        <f>'Physics 34 2026'!N9</f>
        <v>4A.7 E=kQ/r², E=V/d</v>
      </c>
    </row>
    <row r="9" spans="1:6" ht="45" customHeight="1" x14ac:dyDescent="0.2">
      <c r="A9" s="108">
        <f>'Physics 34 2026'!B10</f>
        <v>46104</v>
      </c>
      <c r="B9" s="122" t="str">
        <f>'Physics 34 2026'!J10</f>
        <v>4A.8 F=kq₁q₂/r²</v>
      </c>
      <c r="C9" s="117" t="str">
        <f>'Physics 34 2026'!K10</f>
        <v>No class</v>
      </c>
      <c r="D9" s="122" t="str">
        <f>'Physics 34 2026'!L10</f>
        <v>4A.9 W=qV</v>
      </c>
      <c r="E9" s="122" t="str">
        <f>'Physics 34 2026'!M10</f>
        <v>4A.10 F=qE</v>
      </c>
      <c r="F9" s="122" t="str">
        <f>'Physics 34 2026'!N10</f>
        <v>4B.1 magnetic field model &amp; 4B.2 B-field comparisons</v>
      </c>
    </row>
    <row r="10" spans="1:6" ht="45" customHeight="1" x14ac:dyDescent="0.2">
      <c r="A10" s="108">
        <f>'Physics 34 2026'!B11</f>
        <v>46111</v>
      </c>
      <c r="B10" s="122" t="str">
        <f>'Physics 34 2026'!J11</f>
        <v>4B.3 B-fields: magnets/wires/solenoids &amp; 4B.4 field interactions</v>
      </c>
      <c r="C10" s="122" t="str">
        <f>'Physics 34 2026'!K11</f>
        <v>4B.5 F=nIlB</v>
      </c>
      <c r="D10" s="122" t="str">
        <f>'Physics 34 2026'!L11</f>
        <v>4B.6 DC motor operation &amp; 4B.7 motor torque factors</v>
      </c>
      <c r="E10" s="122" t="str">
        <f>'Physics 34 2026'!M11</f>
        <v>4B.8 F=qvB, qvB=mv²/r</v>
      </c>
      <c r="F10" s="122" t="str">
        <f>'Physics 34 2026'!N11</f>
        <v>4B.9 accelerators &amp; UCM</v>
      </c>
    </row>
    <row r="11" spans="1:6" ht="45" customHeight="1" x14ac:dyDescent="0.2">
      <c r="A11" s="116"/>
      <c r="B11" s="117"/>
      <c r="C11" s="120"/>
      <c r="D11" s="117"/>
      <c r="E11" s="117"/>
      <c r="F11" s="117"/>
    </row>
    <row r="12" spans="1:6" ht="45" customHeight="1" x14ac:dyDescent="0.2">
      <c r="A12" s="108">
        <f>'Physics 34 2026'!B13</f>
        <v>46132</v>
      </c>
      <c r="B12" s="117" t="str">
        <f>'Physics 34 2026'!J13</f>
        <v>Secondary Assembly</v>
      </c>
      <c r="C12" s="117" t="str">
        <f>'Physics 34 2026'!K13</f>
        <v>No class</v>
      </c>
      <c r="D12" s="128" t="str">
        <f>'Physics 34 2026'!L13</f>
        <v>5A.1 PV cell DC production &amp; 5A.2 PV energy transforms</v>
      </c>
      <c r="E12" s="128" t="str">
        <f>'Physics 34 2026'!M13</f>
        <v>5A.3 inverter function &amp; 5A.4 series/parallel PV panels</v>
      </c>
      <c r="F12" s="128" t="str">
        <f>'Physics 34 2026'!N13</f>
        <v>5B.1 induced emf situations &amp; 5B.2 ΦB=B⊥A, Wb units</v>
      </c>
    </row>
    <row r="13" spans="1:6" ht="45" customHeight="1" x14ac:dyDescent="0.2">
      <c r="A13" s="108">
        <f>'Physics 34 2026'!B14</f>
        <v>46139</v>
      </c>
      <c r="B13" s="128" t="str">
        <f>'Physics 34 2026'!J14</f>
        <v>5B.3 EM induction explanation</v>
      </c>
      <c r="C13" s="128" t="str">
        <f>'Physics 34 2026'!K14</f>
        <v>5B.4 ε=−NΔΦ/Δt</v>
      </c>
      <c r="D13" s="128" t="str">
        <f>'Physics 34 2026'!L14</f>
        <v>5B.5 Lenz's law</v>
      </c>
      <c r="E13" s="128" t="str">
        <f>'Physics 34 2026'!M14</f>
        <v>5B.6 induced I needs circuit &amp; 5C.1 DC generator operation</v>
      </c>
      <c r="F13" s="128" t="str">
        <f>'Physics 34 2026'!N14</f>
        <v>5C.2 split ring commutator role &amp; 5C.3 DC V-t graph shape</v>
      </c>
    </row>
    <row r="14" spans="1:6" ht="45" customHeight="1" x14ac:dyDescent="0.2">
      <c r="A14" s="108">
        <f>'Physics 34 2026'!B15</f>
        <v>46146</v>
      </c>
      <c r="B14" s="128" t="str">
        <f>'Physics 34 2026'!J15</f>
        <v>5C.4 V-t graphs vs coil number &amp; 5D.1 AC generator operation</v>
      </c>
      <c r="C14" s="117" t="str">
        <f>'Physics 34 2026'!K15</f>
        <v>No class</v>
      </c>
      <c r="D14" s="128" t="str">
        <f>'Physics 34 2026'!L15</f>
        <v>5D.2 slip rings role &amp; 5D.3 sinusoidal V-t analysis</v>
      </c>
      <c r="E14" s="128" t="str">
        <f>'Physics 34 2026'!M15</f>
        <v>6A.1 Vrms=Vp/√2</v>
      </c>
      <c r="F14" s="128" t="str">
        <f>'Physics 34 2026'!N15</f>
        <v>6A.2 Irms=Ip/√2 &amp; 6A.3 P=VrmsIrms</v>
      </c>
    </row>
    <row r="15" spans="1:6" ht="45" customHeight="1" x14ac:dyDescent="0.2">
      <c r="A15" s="108">
        <f>'Physics 34 2026'!B16</f>
        <v>46153</v>
      </c>
      <c r="B15" s="128" t="str">
        <f>'Physics 34 2026'!J16</f>
        <v>6B.1 transformers &amp; flux &amp; 6B.2 step-up/step-down</v>
      </c>
      <c r="C15" s="128" t="str">
        <f>'Physics 34 2026'!K16</f>
        <v>6B.3 ideal vs real transformers &amp; 6B.4 N₁/N₂=V₁/V₂=I₂/I₁</v>
      </c>
      <c r="D15" s="128" t="str">
        <f>'Physics 34 2026'!L16</f>
        <v>6B.5 turns ratio calcs</v>
      </c>
      <c r="E15" s="128" t="str">
        <f>'Physics 34 2026'!M16</f>
        <v>6C.1 P=I²R, E=I²Rt</v>
      </c>
      <c r="F15" s="128" t="str">
        <f>'Physics 34 2026'!N16</f>
        <v>6C.2 transmission losses</v>
      </c>
    </row>
    <row r="16" spans="1:6" ht="45" customHeight="1" x14ac:dyDescent="0.2">
      <c r="A16" s="108">
        <f>'Physics 34 2026'!B17</f>
        <v>46160</v>
      </c>
      <c r="B16" s="128" t="str">
        <f>'Physics 34 2026'!J17</f>
        <v>Catchup / Assessment</v>
      </c>
      <c r="C16" s="117" t="str">
        <f>'Physics 34 2026'!K17</f>
        <v>No class</v>
      </c>
      <c r="D16" s="128" t="str">
        <f>'Physics 34 2026'!L17</f>
        <v>Catchup / Assessment</v>
      </c>
      <c r="E16" s="128">
        <f>'Physics 34 2026'!M17</f>
        <v>0</v>
      </c>
      <c r="F16" s="128" t="str">
        <f>'Physics 34 2026'!N17</f>
        <v>Catchup / Assessment</v>
      </c>
    </row>
    <row r="17" spans="1:6" ht="45" customHeight="1" x14ac:dyDescent="0.2">
      <c r="A17" s="108">
        <f>'Physics 34 2026'!B18</f>
        <v>46167</v>
      </c>
      <c r="B17" s="124" t="str">
        <f>'Physics 34 2026'!J18</f>
        <v>7A.1 accel charges → EM waves &amp; 7A.2 EM waves: E⊥B at c</v>
      </c>
      <c r="C17" s="124" t="str">
        <f>'Physics 34 2026'!K18</f>
        <v>7A.3 superposition → standing waves</v>
      </c>
      <c r="D17" s="124" t="str">
        <f>'Physics 34 2026'!L18</f>
        <v>7A.4 standing wave analysis</v>
      </c>
      <c r="E17" s="124" t="str">
        <f>'Physics 34 2026'!M18</f>
        <v>7A.5 diffraction &amp; gap width &amp; 7A.6 λ/w ratio &amp; imaging</v>
      </c>
      <c r="F17" s="124" t="str">
        <f>'Physics 34 2026'!N18</f>
        <v>7A.7 Young's double slit</v>
      </c>
    </row>
    <row r="18" spans="1:6" ht="45" customHeight="1" x14ac:dyDescent="0.2">
      <c r="A18" s="108">
        <f>'Physics 34 2026'!B19</f>
        <v>46174</v>
      </c>
      <c r="B18" s="124" t="str">
        <f>'Physics 34 2026'!J19</f>
        <v>7A.8 path diff: nλ, (n+½)λ</v>
      </c>
      <c r="C18" s="117" t="str">
        <f>'Physics 34 2026'!K19</f>
        <v>No class</v>
      </c>
      <c r="D18" s="124" t="str">
        <f>'Physics 34 2026'!L19</f>
        <v>7A.9 Δx=λL/d</v>
      </c>
      <c r="E18" s="124" t="str">
        <f>'Physics 34 2026'!M19</f>
        <v>7B.1 E=hf=hc/λ</v>
      </c>
      <c r="F18" s="124" t="str">
        <f>'Physics 34 2026'!N19</f>
        <v>7B.2 photoelectric evidence</v>
      </c>
    </row>
    <row r="19" spans="1:6" ht="45" customHeight="1" x14ac:dyDescent="0.2">
      <c r="A19" s="108">
        <f>'Physics 34 2026'!B20</f>
        <v>46181</v>
      </c>
      <c r="B19" s="117" t="str">
        <f>'Physics 34 2026'!J20</f>
        <v>King's Birthday</v>
      </c>
      <c r="C19" s="117" t="str">
        <f>'Physics 34 2026'!K20</f>
        <v>King's Birthday</v>
      </c>
      <c r="D19" s="124" t="str">
        <f>'Physics 34 2026'!L20</f>
        <v>7B.3 photoelectric graphs</v>
      </c>
      <c r="E19" s="124" t="str">
        <f>'Physics 34 2026'!M20</f>
        <v>8A.1 electron diffraction patterns</v>
      </c>
      <c r="F19" s="124" t="str">
        <f>'Physics 34 2026'!N20</f>
        <v>8A.2 diffraction → wave nature</v>
      </c>
    </row>
    <row r="20" spans="1:6" ht="45" customHeight="1" x14ac:dyDescent="0.2">
      <c r="A20" s="108">
        <f>'Physics 34 2026'!B21</f>
        <v>46188</v>
      </c>
      <c r="B20" s="124" t="str">
        <f>'Physics 34 2026'!J21</f>
        <v>8A.3 photon vs electron patterns</v>
      </c>
      <c r="C20" s="117" t="str">
        <f>'Physics 34 2026'!K21</f>
        <v>No class</v>
      </c>
      <c r="D20" s="124" t="str">
        <f>'Physics 34 2026'!L21</f>
        <v>8A.4 λ=h/p</v>
      </c>
      <c r="E20" s="124" t="str">
        <f>'Physics 34 2026'!M21</f>
        <v>8B.1 quantisation concepts &amp; 8B.2 p=h/λ</v>
      </c>
      <c r="F20" s="124" t="str">
        <f>'Physics 34 2026'!N21</f>
        <v>8B.3 photon vs matter momentum &amp; 8B.4 emission spectra</v>
      </c>
    </row>
    <row r="21" spans="1:6" ht="45" customHeight="1" x14ac:dyDescent="0.2">
      <c r="A21" s="108">
        <f>'Physics 34 2026'!B22</f>
        <v>46195</v>
      </c>
      <c r="B21" s="124" t="str">
        <f>'Physics 34 2026'!J22</f>
        <v>8B.5 absorption spectra &amp; 8B.6 ΔE=hc/λ from spectra</v>
      </c>
      <c r="C21" s="117" t="str">
        <f>'Physics 34 2026'!K22</f>
        <v>HPA</v>
      </c>
      <c r="D21" s="117" t="str">
        <f>'Physics 34 2026'!L22</f>
        <v>HPA</v>
      </c>
      <c r="E21" s="117" t="str">
        <f>'Physics 34 2026'!M22</f>
        <v>HPA</v>
      </c>
      <c r="F21" s="117" t="str">
        <f>'Physics 34 2026'!N22</f>
        <v>HPA</v>
      </c>
    </row>
    <row r="22" spans="1:6" ht="45" customHeight="1" x14ac:dyDescent="0.2">
      <c r="A22" s="116"/>
      <c r="B22" s="117"/>
      <c r="C22" s="120"/>
      <c r="D22" s="117"/>
      <c r="E22" s="117"/>
      <c r="F22" s="117"/>
    </row>
    <row r="23" spans="1:6" ht="45" customHeight="1" x14ac:dyDescent="0.2">
      <c r="A23" s="108">
        <f>'Physics 34 2026'!B24</f>
        <v>46223</v>
      </c>
      <c r="B23" s="117" t="str">
        <f>'Physics 34 2026'!J24</f>
        <v>Secondary Assembly</v>
      </c>
      <c r="C23" s="117" t="str">
        <f>'Physics 34 2026'!K24</f>
        <v>No class</v>
      </c>
      <c r="D23" s="124" t="str">
        <f>'Physics 34 2026'!L24</f>
        <v>8B.7 ΔE=hf transitions</v>
      </c>
      <c r="E23" s="124" t="str">
        <f>'Physics 34 2026'!M24</f>
        <v>8B.8 single particle duality</v>
      </c>
      <c r="F23" s="124" t="str">
        <f>'Physics 34 2026'!N24</f>
        <v>9A.1 inertial frames &amp; 9A.2 inertial vs non-inertial</v>
      </c>
    </row>
    <row r="24" spans="1:6" ht="45" customHeight="1" x14ac:dyDescent="0.2">
      <c r="A24" s="108">
        <f>'Physics 34 2026'!B25</f>
        <v>46230</v>
      </c>
      <c r="B24" s="124" t="str">
        <f>'Physics 34 2026'!J25</f>
        <v>9A.3 relativity concept</v>
      </c>
      <c r="C24" s="124" t="str">
        <f>'Physics 34 2026'!K25</f>
        <v>9A.4 SR postulates</v>
      </c>
      <c r="D24" s="124" t="str">
        <f>'Physics 34 2026'!L25</f>
        <v>9A.5 Michelson-Morley &amp; aether &amp; 9A.6 SR vs classical</v>
      </c>
      <c r="E24" s="124" t="str">
        <f>'Physics 34 2026'!M25</f>
        <v>9B.1 proper time t₀ &amp; 9B.2 dilated time t</v>
      </c>
      <c r="F24" s="124" t="str">
        <f>'Physics 34 2026'!N25</f>
        <v>9B.3 proper length L₀ &amp; 9B.4 identify proper length</v>
      </c>
    </row>
    <row r="25" spans="1:6" ht="45" customHeight="1" x14ac:dyDescent="0.2">
      <c r="A25" s="108">
        <f>'Physics 34 2026'!B26</f>
        <v>46237</v>
      </c>
      <c r="B25" s="124" t="str">
        <f>'Physics 34 2026'!J26</f>
        <v>9B.5 contraction direction</v>
      </c>
      <c r="C25" s="117" t="str">
        <f>'Physics 34 2026'!K26</f>
        <v>No class</v>
      </c>
      <c r="D25" s="124" t="str">
        <f>'Physics 34 2026'!L26</f>
        <v>9B.6 L=L₀/γ, t=t₀γ</v>
      </c>
      <c r="E25" s="124" t="str">
        <f>'Physics 34 2026'!M26</f>
        <v>9B.7 accelerators &amp; l.c. &amp; 9B.8 GPS &amp; time dilation</v>
      </c>
      <c r="F25" s="124" t="str">
        <f>'Physics 34 2026'!N26</f>
        <v>9B.9 speed effects on t,L &amp; 9C.1 muon t dilation (Earth)</v>
      </c>
    </row>
    <row r="26" spans="1:6" ht="45" customHeight="1" x14ac:dyDescent="0.2">
      <c r="A26" s="108">
        <f>'Physics 34 2026'!B27</f>
        <v>46244</v>
      </c>
      <c r="B26" s="124" t="str">
        <f>'Physics 34 2026'!J27</f>
        <v>9C.2 muon l.c. (muon frame) &amp; 9D.1 E=mc²</v>
      </c>
      <c r="C26" s="124" t="str">
        <f>'Physics 34 2026'!K27</f>
        <v>9D.2 Etot=γmc², Ek=(γ–1)mc²</v>
      </c>
      <c r="D26" s="124" t="str">
        <f>'Physics 34 2026'!L27</f>
        <v>9D.3 ΔE=Δmc² &amp; 9D.4 accelerators → new elements &amp; 9D.5 γ vs v graph</v>
      </c>
      <c r="E26" s="124" t="str">
        <f>'Physics 34 2026'!M27</f>
        <v>Catchup / Assessment</v>
      </c>
      <c r="F26" s="124" t="str">
        <f>'Physics 34 2026'!N27</f>
        <v>Catchup / Assessment</v>
      </c>
    </row>
    <row r="27" spans="1:6" ht="45" customHeight="1" x14ac:dyDescent="0.2">
      <c r="A27" s="108">
        <f>'Physics 34 2026'!B28</f>
        <v>46251</v>
      </c>
      <c r="B27" s="124" t="str">
        <f>'Physics 34 2026'!J28</f>
        <v>Catchup / Assessment</v>
      </c>
      <c r="C27" s="117" t="str">
        <f>'Physics 34 2026'!K28</f>
        <v>No class</v>
      </c>
      <c r="D27" s="109" t="str">
        <f>'Physics 34 2026'!L28</f>
        <v>Investigation planning</v>
      </c>
      <c r="E27" s="109" t="str">
        <f>'Physics 34 2026'!M28</f>
        <v>Investigation planning</v>
      </c>
      <c r="F27" s="109" t="str">
        <f>'Physics 34 2026'!N28</f>
        <v>Investigation planning</v>
      </c>
    </row>
    <row r="28" spans="1:6" ht="45" customHeight="1" x14ac:dyDescent="0.2">
      <c r="A28" s="108">
        <f>'Physics 34 2026'!B29</f>
        <v>46258</v>
      </c>
      <c r="B28" s="125" t="str">
        <f>'Physics 34 2026'!J29</f>
        <v>9 Periods SAC Investigation SACU4AOS2</v>
      </c>
      <c r="C28" s="125" t="str">
        <f>'Physics 34 2026'!K29</f>
        <v>Investigation</v>
      </c>
      <c r="D28" s="125" t="str">
        <f>'Physics 34 2026'!L29</f>
        <v>Investigation</v>
      </c>
      <c r="E28" s="125" t="str">
        <f>'Physics 34 2026'!M29</f>
        <v>Investigation</v>
      </c>
      <c r="F28" s="125" t="str">
        <f>'Physics 34 2026'!N29</f>
        <v>Investigation</v>
      </c>
    </row>
    <row r="29" spans="1:6" ht="45" customHeight="1" x14ac:dyDescent="0.2">
      <c r="A29" s="108">
        <f>'Physics 34 2026'!B30</f>
        <v>46265</v>
      </c>
      <c r="B29" s="125" t="str">
        <f>'Physics 34 2026'!J30</f>
        <v>Investigation</v>
      </c>
      <c r="C29" s="117" t="str">
        <f>'Physics 34 2026'!K30</f>
        <v>No class</v>
      </c>
      <c r="D29" s="125" t="str">
        <f>'Physics 34 2026'!L30</f>
        <v>Investigation</v>
      </c>
      <c r="E29" s="125" t="str">
        <f>'Physics 34 2026'!M30</f>
        <v>Investigation</v>
      </c>
      <c r="F29" s="125" t="str">
        <f>'Physics 34 2026'!N30</f>
        <v>Investigation</v>
      </c>
    </row>
    <row r="30" spans="1:6" ht="45" customHeight="1" x14ac:dyDescent="0.2">
      <c r="A30" s="108">
        <f>'Physics 34 2026'!B31</f>
        <v>46272</v>
      </c>
      <c r="B30" s="109" t="str">
        <f>'Physics 34 2026'!J31</f>
        <v>Practice Exams</v>
      </c>
      <c r="C30" s="109" t="str">
        <f>'Physics 34 2026'!K31</f>
        <v>Practice Exams</v>
      </c>
      <c r="D30" s="109" t="str">
        <f>'Physics 34 2026'!L31</f>
        <v>Practice Exams</v>
      </c>
      <c r="E30" s="109" t="str">
        <f>'Physics 34 2026'!M31</f>
        <v>Practice Exams</v>
      </c>
      <c r="F30" s="109" t="str">
        <f>'Physics 34 2026'!N31</f>
        <v>Practice Exams</v>
      </c>
    </row>
    <row r="31" spans="1:6" ht="45" customHeight="1" x14ac:dyDescent="0.2">
      <c r="A31" s="108">
        <f>'Physics 34 2026'!B32</f>
        <v>46279</v>
      </c>
      <c r="B31" s="109" t="str">
        <f>'Physics 34 2026'!J32</f>
        <v>Practice Exams</v>
      </c>
      <c r="C31" s="117" t="str">
        <f>'Physics 34 2026'!K32</f>
        <v>No class</v>
      </c>
      <c r="D31" s="109" t="str">
        <f>'Physics 34 2026'!L32</f>
        <v>Practice Exams</v>
      </c>
      <c r="E31" s="109" t="str">
        <f>'Physics 34 2026'!M32</f>
        <v>Practice Exams</v>
      </c>
      <c r="F31" s="109" t="str">
        <f>'Physics 34 2026'!N32</f>
        <v>Practice Exams</v>
      </c>
    </row>
    <row r="32" spans="1:6" ht="45" customHeight="1" x14ac:dyDescent="0.2">
      <c r="A32" s="116"/>
      <c r="B32" s="117"/>
      <c r="C32" s="120"/>
      <c r="D32" s="117"/>
      <c r="E32" s="117"/>
      <c r="F32" s="117"/>
    </row>
    <row r="33" spans="1:6" ht="45" customHeight="1" x14ac:dyDescent="0.2">
      <c r="A33" s="108">
        <f>'Physics 34 2026'!B34</f>
        <v>46300</v>
      </c>
      <c r="B33" s="109" t="str">
        <f>'Physics 34 2026'!J34</f>
        <v>Practice Exams</v>
      </c>
      <c r="C33" s="109" t="str">
        <f>'Physics 34 2026'!K34</f>
        <v>Practice Exams</v>
      </c>
      <c r="D33" s="109" t="str">
        <f>'Physics 34 2026'!L34</f>
        <v>Practice Exams</v>
      </c>
      <c r="E33" s="109" t="str">
        <f>'Physics 34 2026'!M34</f>
        <v>Practice Exams</v>
      </c>
      <c r="F33" s="109" t="str">
        <f>'Physics 34 2026'!N34</f>
        <v>Practice Exams</v>
      </c>
    </row>
    <row r="34" spans="1:6" ht="45" customHeight="1" x14ac:dyDescent="0.2">
      <c r="A34" s="108">
        <f>'Physics 34 2026'!B35</f>
        <v>46307</v>
      </c>
      <c r="B34" s="109" t="str">
        <f>'Physics 34 2026'!J35</f>
        <v>Practice Exams</v>
      </c>
      <c r="C34" s="117" t="str">
        <f>'Physics 34 2026'!K35</f>
        <v>No class</v>
      </c>
      <c r="D34" s="109" t="str">
        <f>'Physics 34 2026'!L35</f>
        <v>Practice Exams</v>
      </c>
      <c r="E34" s="109" t="str">
        <f>'Physics 34 2026'!M35</f>
        <v>Practice Exams</v>
      </c>
      <c r="F34" s="109" t="str">
        <f>'Physics 34 2026'!N35</f>
        <v>Practice Exams</v>
      </c>
    </row>
    <row r="35" spans="1:6" ht="45" customHeight="1" x14ac:dyDescent="0.2">
      <c r="A35" s="108">
        <f>'Physics 34 2026'!B36</f>
        <v>46314</v>
      </c>
      <c r="B35" s="109" t="str">
        <f>'Physics 34 2026'!J36</f>
        <v>12 Val</v>
      </c>
      <c r="C35" s="109"/>
      <c r="D35" s="109"/>
      <c r="E35" s="109"/>
      <c r="F35" s="109"/>
    </row>
    <row r="36" spans="1:6" ht="45" customHeight="1" x14ac:dyDescent="0.2">
      <c r="A36" s="108">
        <f>'Physics 34 2026'!B37</f>
        <v>46321</v>
      </c>
      <c r="B36" s="109"/>
      <c r="C36" s="117" t="str">
        <f>'Physics 34 2026'!K37</f>
        <v>No class</v>
      </c>
      <c r="D36" s="109"/>
      <c r="E36" s="109"/>
      <c r="F36" s="109"/>
    </row>
    <row r="37" spans="1:6" ht="45" customHeight="1" x14ac:dyDescent="0.2">
      <c r="A37" s="108">
        <f>'Physics 34 2026'!B38</f>
        <v>46328</v>
      </c>
      <c r="B37" s="109" t="str">
        <f>'Physics 34 2026'!J38</f>
        <v>Cup Weekend</v>
      </c>
      <c r="C37" s="109" t="str">
        <f>'Physics 34 2026'!K38</f>
        <v>Cup Weekend</v>
      </c>
      <c r="D37" s="109"/>
      <c r="E37" s="109"/>
      <c r="F37" s="109"/>
    </row>
    <row r="38" spans="1:6" ht="45" customHeight="1" x14ac:dyDescent="0.2">
      <c r="A38" s="108">
        <f>'Physics 34 2026'!B39</f>
        <v>46335</v>
      </c>
      <c r="B38" s="109"/>
      <c r="C38" s="109"/>
      <c r="D38" s="109"/>
      <c r="E38" s="109"/>
      <c r="F38" s="10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topLeftCell="A2" workbookViewId="0">
      <selection activeCell="D35" sqref="D35"/>
    </sheetView>
  </sheetViews>
  <sheetFormatPr baseColWidth="10" defaultColWidth="8.83203125" defaultRowHeight="15" x14ac:dyDescent="0.2"/>
  <cols>
    <col min="1" max="1" width="12" customWidth="1"/>
    <col min="2" max="4" width="33.83203125" customWidth="1"/>
    <col min="5" max="5" width="34.1640625" style="114" customWidth="1"/>
    <col min="6" max="6" width="34.1640625" customWidth="1"/>
  </cols>
  <sheetData>
    <row r="1" spans="1:6" ht="16" customHeight="1" x14ac:dyDescent="0.2">
      <c r="A1" s="106" t="s">
        <v>0</v>
      </c>
      <c r="B1" s="106" t="s">
        <v>8</v>
      </c>
      <c r="C1" s="106" t="s">
        <v>2</v>
      </c>
      <c r="D1" s="106" t="s">
        <v>3</v>
      </c>
      <c r="E1" s="113" t="s">
        <v>3</v>
      </c>
      <c r="F1" s="113" t="s">
        <v>10</v>
      </c>
    </row>
    <row r="2" spans="1:6" ht="48" customHeight="1" x14ac:dyDescent="0.2">
      <c r="A2" s="108">
        <f>'Physics 12 2026'!B2</f>
        <v>46055</v>
      </c>
      <c r="B2" s="117" t="str">
        <f>'Physics 12 2026'!K2</f>
        <v>No classes</v>
      </c>
      <c r="C2" s="117" t="str">
        <f>'Physics 12 2026'!L2</f>
        <v>No classes</v>
      </c>
      <c r="D2" s="122" t="str">
        <f>'Physics 12 2026'!M2</f>
        <v>1A.1 wave motion examples; 1A.2 energy transfer no matter</v>
      </c>
      <c r="E2" s="122" t="str">
        <f>'Physics 12 2026'!N2</f>
        <v>1A.3 transverse vs longitudinal</v>
      </c>
      <c r="F2" s="122" t="str">
        <f>'Physics 12 2026'!O2</f>
        <v>1A.4 A, v, f, T, λ wave terms; 1A.5 λ from v (medium) &amp; f (source)</v>
      </c>
    </row>
    <row r="3" spans="1:6" ht="48" customHeight="1" x14ac:dyDescent="0.2">
      <c r="A3" s="108">
        <f>'Physics 12 2026'!B3</f>
        <v>46062</v>
      </c>
      <c r="B3" s="122" t="str">
        <f>'Physics 12 2026'!K3</f>
        <v>1A.6 λ = v/f = vT calculations</v>
      </c>
      <c r="C3" s="122" t="str">
        <f>'Physics 12 2026'!L3</f>
        <v>1B.1 EM waves transverse E&amp;M fields; 1B.2 Sun emits UV, visible, IR</v>
      </c>
      <c r="D3" s="122" t="str">
        <f>'Physics 12 2026'!M3</f>
        <v>1B.3 EM spectrum λ &amp; f ranges; 1B.4 EM spectrum societal uses</v>
      </c>
      <c r="E3" s="117" t="str">
        <f>'Physics 12 2026'!N3</f>
        <v>No class</v>
      </c>
      <c r="F3" s="122" t="str">
        <f>'Physics 12 2026'!O3</f>
        <v>1C.1 ray model reflection/refraction; 1C.2 refractive index definition</v>
      </c>
    </row>
    <row r="4" spans="1:6" ht="48" customHeight="1" x14ac:dyDescent="0.2">
      <c r="A4" s="108">
        <f>'Physics 12 2026'!B4</f>
        <v>46069</v>
      </c>
      <c r="B4" s="122" t="str">
        <f>'Physics 12 2026'!K4</f>
        <v>1C.3 n₁v₁ = n₂v₂ equation</v>
      </c>
      <c r="C4" s="122" t="str">
        <f>'Physics 12 2026'!L4</f>
        <v>1C.4 Snell's law practicals; 1C.5 Snell's law refraction calcs</v>
      </c>
      <c r="D4" s="122" t="str">
        <f>'Physics 12 2026'!M4</f>
        <v>1C.6 ray model image formation</v>
      </c>
      <c r="E4" s="122" t="str">
        <f>'Physics 12 2026'!N4</f>
        <v>1C.7 total internal reflection pracs; 1C.8 critical angle prediction</v>
      </c>
      <c r="F4" s="122" t="str">
        <f>'Physics 12 2026'!O4</f>
        <v>1C.9 dispersion practicals</v>
      </c>
    </row>
    <row r="5" spans="1:6" ht="48" customHeight="1" x14ac:dyDescent="0.2">
      <c r="A5" s="108">
        <f>'Physics 12 2026'!B5</f>
        <v>46076</v>
      </c>
      <c r="B5" s="122" t="str">
        <f>'Physics 12 2026'!K5</f>
        <v>1C.10 dispersion in prisms/lenses; 1C.11 rainbows &amp; mirages formation</v>
      </c>
      <c r="C5" s="122" t="str">
        <f>'Physics 12 2026'!L5</f>
        <v>1C.12 Snell's law optical fibres</v>
      </c>
      <c r="D5" s="122" t="str">
        <f>'Physics 12 2026'!M5</f>
        <v>2A.1 thermal energy = Ek + Ep; 2A.2 temp ↔ thermal energy</v>
      </c>
      <c r="E5" s="117" t="str">
        <f>'Physics 12 2026'!N5</f>
        <v>No class</v>
      </c>
      <c r="F5" s="122" t="str">
        <f>'Physics 12 2026'!O5</f>
        <v>2A.3 Celsius ↔ kelvin conversion; 2A.4 conduction/convection/radiation</v>
      </c>
    </row>
    <row r="6" spans="1:6" ht="48" customHeight="1" x14ac:dyDescent="0.2">
      <c r="A6" s="108">
        <f>'Physics 12 2026'!B6</f>
        <v>46083</v>
      </c>
      <c r="B6" s="122" t="str">
        <f>'Physics 12 2026'!K6</f>
        <v>2A.5 specific heat capacity c</v>
      </c>
      <c r="C6" s="122" t="str">
        <f>'Physics 12 2026'!L6</f>
        <v>2A.6 latent heat L definition; 2A.7 temp/state change practicals</v>
      </c>
      <c r="D6" s="122" t="str">
        <f>'Physics 12 2026'!M6</f>
        <v>2A.8 thermal energy change analysis; 2A.9 Q = mcΔT calculations</v>
      </c>
      <c r="E6" s="122" t="str">
        <f>'Physics 12 2026'!N6</f>
        <v>2A.10 Q = mL calculations</v>
      </c>
      <c r="F6" s="122" t="str">
        <f>'Physics 12 2026'!O6</f>
        <v>2B.1 blackbody features</v>
      </c>
    </row>
    <row r="7" spans="1:6" ht="32" customHeight="1" x14ac:dyDescent="0.2">
      <c r="A7" s="108">
        <f>'Physics 12 2026'!B7</f>
        <v>46090</v>
      </c>
      <c r="B7" s="117" t="str">
        <f>'Physics 12 2026'!K7</f>
        <v>Labour Day</v>
      </c>
      <c r="C7" s="117" t="str">
        <f>'Physics 12 2026'!L7</f>
        <v>Labour Day</v>
      </c>
      <c r="D7" s="122" t="str">
        <f>'Physics 12 2026'!M7</f>
        <v>2B.2 Wien's law λₘₐₓT = 2.90×10⁻³; 2B.3 blackbody total energy graphs</v>
      </c>
      <c r="E7" s="117" t="str">
        <f>'Physics 12 2026'!N7</f>
        <v>No class</v>
      </c>
      <c r="F7" s="122" t="str">
        <f>'Physics 12 2026'!O7</f>
        <v>2B.4 thermal/EM radiation concepts</v>
      </c>
    </row>
    <row r="8" spans="1:6" ht="48" customHeight="1" x14ac:dyDescent="0.2">
      <c r="A8" s="108">
        <f>'Physics 12 2026'!B8</f>
        <v>46097</v>
      </c>
      <c r="B8" s="121" t="str">
        <f>'Physics 12 2026'!K8</f>
        <v>3A.1 proton:neutron ratio stability; 3A.2 electrostatic/strong/weak forces</v>
      </c>
      <c r="C8" s="121" t="str">
        <f>'Physics 12 2026'!L8</f>
        <v>3A.3 electrostatic repulsion in nucleus</v>
      </c>
      <c r="D8" s="121" t="str">
        <f>'Physics 12 2026'!M8</f>
        <v>3A.4 strong nuclear force overcomes; 3A.5 weak force p↔n transformation</v>
      </c>
      <c r="E8" s="121" t="str">
        <f>'Physics 12 2026'!N8</f>
        <v>3A.6 binding energy curve</v>
      </c>
      <c r="F8" s="125" t="str">
        <f>'Physics 12 2026'!O8</f>
        <v>AT U1AOS1</v>
      </c>
    </row>
    <row r="9" spans="1:6" ht="64" customHeight="1" x14ac:dyDescent="0.2">
      <c r="A9" s="108">
        <f>'Physics 12 2026'!B9</f>
        <v>46104</v>
      </c>
      <c r="B9" s="121" t="str">
        <f>'Physics 12 2026'!K9</f>
        <v>3B.1 α, β⁻, β⁺, γ properties; 3B.2 decay equations α, β⁻, β⁺, γ</v>
      </c>
      <c r="C9" s="121" t="str">
        <f>'Physics 12 2026'!L9</f>
        <v>3C.1 half-life concept; 3C.2 activity after n half-lives</v>
      </c>
      <c r="D9" s="121" t="str">
        <f>'Physics 12 2026'!M9</f>
        <v>3D.1 decay chains (e.g. U-238)</v>
      </c>
      <c r="E9" s="117" t="str">
        <f>'Physics 12 2026'!N9</f>
        <v>No class</v>
      </c>
      <c r="F9" s="117" t="str">
        <f>'Physics 12 2026'!O9</f>
        <v>VCE Formal</v>
      </c>
    </row>
    <row r="10" spans="1:6" ht="48" customHeight="1" x14ac:dyDescent="0.2">
      <c r="A10" s="108">
        <f>'Physics 12 2026'!B10</f>
        <v>46111</v>
      </c>
      <c r="B10" s="121" t="str">
        <f>'Physics 12 2026'!K10</f>
        <v>3E.1 radiation effects on humans; 3E.2 α, β, γ cell damage capacity</v>
      </c>
      <c r="C10" s="121" t="str">
        <f>'Physics 12 2026'!L10</f>
        <v>3E.3 low/high dose short/long term</v>
      </c>
      <c r="D10" s="121" t="str">
        <f>'Physics 12 2026'!M10</f>
        <v>3E.4 external vs internal sources; 3E.5 gray, sievert dose calcs</v>
      </c>
      <c r="E10" s="121" t="str">
        <f>'Physics 12 2026'!N10</f>
        <v>3E.6 medical radioisotopes therapy</v>
      </c>
      <c r="F10" s="117" t="str">
        <f>'Physics 12 2026'!O10</f>
        <v>Good Friday</v>
      </c>
    </row>
    <row r="11" spans="1:6" ht="16" customHeight="1" x14ac:dyDescent="0.2">
      <c r="A11" s="116"/>
      <c r="B11" s="117"/>
      <c r="C11" s="117"/>
      <c r="D11" s="117"/>
      <c r="E11" s="117"/>
      <c r="F11" s="131"/>
    </row>
    <row r="12" spans="1:6" ht="64" customHeight="1" x14ac:dyDescent="0.2">
      <c r="A12" s="108">
        <f>'Physics 12 2026'!B12</f>
        <v>46132</v>
      </c>
      <c r="B12" s="121" t="str">
        <f>'Physics 12 2026'!K12</f>
        <v>4A.1 E = mc² nuclear energy; 4A.2 fission chain reactions</v>
      </c>
      <c r="C12" s="121" t="str">
        <f>'Physics 12 2026'!L12</f>
        <v>4A.3 mass/shape criticality; 4A.4 neutron absorbers &amp; moderators</v>
      </c>
      <c r="D12" s="121" t="str">
        <f>'Physics 12 2026'!M12</f>
        <v>4B.1 fusion vs fission comparison; 4B.2 binding energy curve fusion/fission</v>
      </c>
      <c r="E12" s="117" t="str">
        <f>'Physics 12 2026'!N12</f>
        <v>No class</v>
      </c>
      <c r="F12" s="121" t="str">
        <f>'Physics 12 2026'!O12</f>
        <v>4C.1 nuclear viability Australia; 4C.2 nuclear pros/cons Australia</v>
      </c>
    </row>
    <row r="13" spans="1:6" ht="48" customHeight="1" x14ac:dyDescent="0.2">
      <c r="A13" s="108">
        <f>'Physics 12 2026'!B13</f>
        <v>46139</v>
      </c>
      <c r="B13" s="123" t="str">
        <f>'Physics 12 2026'!K13</f>
        <v>5A.1 metal = sea of electrons; 5A.2 current = drift velocity e⁻</v>
      </c>
      <c r="C13" s="123" t="str">
        <f>'Physics 12 2026'!L13</f>
        <v>5A.3 charge/current analogies</v>
      </c>
      <c r="D13" s="123" t="str">
        <f>'Physics 12 2026'!M13</f>
        <v>5A.4 circuit symbols &amp; diagrams; 5A.5 ammeter measures current</v>
      </c>
      <c r="E13" s="123" t="str">
        <f>'Physics 12 2026'!N13</f>
        <v>5A.6 I = Q/t calculations</v>
      </c>
      <c r="F13" s="125" t="str">
        <f>'Physics 12 2026'!O13</f>
        <v>AT U1AOS2</v>
      </c>
    </row>
    <row r="14" spans="1:6" ht="64" customHeight="1" x14ac:dyDescent="0.2">
      <c r="A14" s="108">
        <f>'Physics 12 2026'!B14</f>
        <v>46146</v>
      </c>
      <c r="B14" s="123" t="str">
        <f>'Physics 12 2026'!K14</f>
        <v>5B.1 charge separation = V = energy; 5B.2 V = E/Q and E = VIt</v>
      </c>
      <c r="C14" s="123" t="str">
        <f>'Physics 12 2026'!L14</f>
        <v>5B.3 voltage/current analogies; 5B.4 voltmeter measures V</v>
      </c>
      <c r="D14" s="123" t="str">
        <f>'Physics 12 2026'!M14</f>
        <v>5B.5 ammeter series, voltmeter parallel</v>
      </c>
      <c r="E14" s="117" t="str">
        <f>'Physics 12 2026'!N14</f>
        <v>No class</v>
      </c>
      <c r="F14" s="123" t="str">
        <f>'Physics 12 2026'!O14</f>
        <v>5C.1 I-V for ohmic resistance; 5C.2 R = V/I Ohm's law</v>
      </c>
    </row>
    <row r="15" spans="1:6" ht="48" customHeight="1" x14ac:dyDescent="0.2">
      <c r="A15" s="108">
        <f>'Physics 12 2026'!B15</f>
        <v>46153</v>
      </c>
      <c r="B15" s="123" t="str">
        <f>'Physics 12 2026'!K15</f>
        <v>5C.3 current continuous in series</v>
      </c>
      <c r="C15" s="123" t="str">
        <f>'Physics 12 2026'!L15</f>
        <v>5C.4 V drops across each R; 5C.5 R_total = R₁ + R₂ + ... series</v>
      </c>
      <c r="D15" s="123" t="str">
        <f>'Physics 12 2026'!M15</f>
        <v>5C.6 voltage divider Vout calcs</v>
      </c>
      <c r="E15" s="123" t="str">
        <f>'Physics 12 2026'!N15</f>
        <v>5D.1 parallel = junctions, paths; 5D.2 current splits at junctions</v>
      </c>
      <c r="F15" s="123" t="str">
        <f>'Physics 12 2026'!O15</f>
        <v>5D.3 same V across parallel branches; 5D.4 1/R = 1/R₁ + 1/R₂ parallel</v>
      </c>
    </row>
    <row r="16" spans="1:6" ht="48" customHeight="1" x14ac:dyDescent="0.2">
      <c r="A16" s="108">
        <f>'Physics 12 2026'!B16</f>
        <v>46160</v>
      </c>
      <c r="B16" s="123" t="str">
        <f>'Physics 12 2026'!K16</f>
        <v>5D.5 I-V graphs equivalent R</v>
      </c>
      <c r="C16" s="123" t="str">
        <f>'Physics 12 2026'!L16</f>
        <v>5E.1 P = E/t power formula; 5E.2 P = VI, P = I²R, P = V²/R</v>
      </c>
      <c r="D16" s="123" t="str">
        <f>'Physics 12 2026'!M16</f>
        <v>5E.3 power in series vs parallel; 5E.4 series vs parallel advantages</v>
      </c>
      <c r="E16" s="117" t="str">
        <f>'Physics 12 2026'!N16</f>
        <v>No class</v>
      </c>
      <c r="F16" s="123" t="str">
        <f>'Physics 12 2026'!O16</f>
        <v>6A.1 diode I-V characteristic; 6A.2 LED I-V characteristic</v>
      </c>
    </row>
    <row r="17" spans="1:6" ht="48" customHeight="1" x14ac:dyDescent="0.2">
      <c r="A17" s="108">
        <f>'Physics 12 2026'!B17</f>
        <v>46167</v>
      </c>
      <c r="B17" s="123" t="str">
        <f>'Physics 12 2026'!K17</f>
        <v>6A.3 variable resistor/potentiometer; 6A.4 LDR resistance vs light</v>
      </c>
      <c r="C17" s="123" t="str">
        <f>'Physics 12 2026'!L17</f>
        <v>6A.5 thermistor resistance vs temp</v>
      </c>
      <c r="D17" s="123" t="str">
        <f>'Physics 12 2026'!M17</f>
        <v>6A.6 voltage divider with components; 6A.7 LDR/thermistor divider circuits</v>
      </c>
      <c r="E17" s="123" t="str">
        <f>'Physics 12 2026'!N17</f>
        <v>6A.8 variable component circuits</v>
      </c>
      <c r="F17" s="117" t="str">
        <f>'Physics 12 2026'!O17</f>
        <v>Student free day</v>
      </c>
    </row>
    <row r="18" spans="1:6" ht="80" customHeight="1" x14ac:dyDescent="0.2">
      <c r="A18" s="108">
        <f>'Physics 12 2026'!B18</f>
        <v>46174</v>
      </c>
      <c r="B18" s="123" t="str">
        <f>'Physics 12 2026'!K18</f>
        <v>6B.1 redraw circuits as diagrams; 6B.2 household parallel AC 230V; 6B.3 series vs parallel justification</v>
      </c>
      <c r="C18" s="123" t="str">
        <f>'Physics 12 2026'!L18</f>
        <v>6B.4 household power/energy calcs; 6B.5 kilowatt-hour (kWh) energy</v>
      </c>
      <c r="D18" s="123" t="str">
        <f>'Physics 12 2026'!M18</f>
        <v>6C.1 electric shock causes/effects; 6C.2 danger current thresholds; 6C.3 230V 50Hz safety devices</v>
      </c>
      <c r="E18" s="117" t="str">
        <f>'Physics 12 2026'!N18</f>
        <v>No class</v>
      </c>
      <c r="F18" s="123" t="str">
        <f>'Physics 12 2026'!O18</f>
        <v>6C.4 3-pin plug active/neutral/earth; 6C.5 earth = low R path to 0V; 6C.6 fuse/circuit breaker/RCD</v>
      </c>
    </row>
    <row r="19" spans="1:6" ht="32" customHeight="1" x14ac:dyDescent="0.2">
      <c r="A19" s="108">
        <f>'Physics 12 2026'!B19</f>
        <v>46181</v>
      </c>
      <c r="B19" s="117" t="str">
        <f>'Physics 12 2026'!K19</f>
        <v>King's Birthday</v>
      </c>
      <c r="C19" s="117" t="str">
        <f>'Physics 12 2026'!L19</f>
        <v>King's Birthday</v>
      </c>
      <c r="D19" s="125" t="str">
        <f>'Physics 12 2026'!M19</f>
        <v>AT U1AOS3</v>
      </c>
      <c r="E19" s="109" t="str">
        <f>'Physics 12 2026'!N19</f>
        <v>Practice Exam</v>
      </c>
      <c r="F19" s="109" t="str">
        <f>'Physics 12 2026'!O19</f>
        <v>Practice Exam</v>
      </c>
    </row>
    <row r="20" spans="1:6" ht="32" customHeight="1" x14ac:dyDescent="0.2">
      <c r="A20" s="108">
        <f>'Physics 12 2026'!B20</f>
        <v>46188</v>
      </c>
      <c r="B20" s="117" t="str">
        <f>'Physics 12 2026'!K20</f>
        <v>10-11 exams</v>
      </c>
      <c r="C20" s="117" t="str">
        <f>'Physics 12 2026'!L20</f>
        <v>10-11 exams</v>
      </c>
      <c r="D20" s="117" t="str">
        <f>'Physics 12 2026'!M20</f>
        <v>10-11 exams</v>
      </c>
      <c r="E20" s="117" t="str">
        <f>'Physics 12 2026'!N20</f>
        <v>10-11 exams</v>
      </c>
      <c r="F20" s="117" t="str">
        <f>'Physics 12 2026'!O20</f>
        <v>10-11 exams</v>
      </c>
    </row>
    <row r="21" spans="1:6" ht="32" customHeight="1" x14ac:dyDescent="0.2">
      <c r="A21" s="108">
        <f>'Physics 12 2026'!B21</f>
        <v>46195</v>
      </c>
      <c r="B21" s="117" t="str">
        <f>'Physics 12 2026'!K21</f>
        <v>10-11 exams</v>
      </c>
      <c r="C21" s="117" t="str">
        <f>'Physics 12 2026'!L21</f>
        <v>HPA</v>
      </c>
      <c r="D21" s="117" t="str">
        <f>'Physics 12 2026'!M21</f>
        <v>HPA</v>
      </c>
      <c r="E21" s="117" t="str">
        <f>'Physics 12 2026'!N21</f>
        <v>HPA</v>
      </c>
      <c r="F21" s="117" t="str">
        <f>'Physics 12 2026'!O21</f>
        <v>HPA</v>
      </c>
    </row>
    <row r="22" spans="1:6" ht="16" customHeight="1" x14ac:dyDescent="0.2">
      <c r="A22" s="116"/>
      <c r="B22" s="117"/>
      <c r="C22" s="117"/>
      <c r="D22" s="117"/>
      <c r="E22" s="117"/>
      <c r="F22" s="131"/>
    </row>
    <row r="23" spans="1:6" ht="48" customHeight="1" x14ac:dyDescent="0.2">
      <c r="A23" s="108">
        <f>'Physics 12 2026'!B23</f>
        <v>46223</v>
      </c>
      <c r="B23" s="124" t="str">
        <f>'Physics 12 2026'!K23</f>
        <v>7A.1 vector vs scalar definition; 7A.2 common vectors &amp; scalars</v>
      </c>
      <c r="C23" s="124" t="str">
        <f>'Physics 12 2026'!L23</f>
        <v>7A.3 straight-line vector addition</v>
      </c>
      <c r="D23" s="124" t="str">
        <f>'Physics 12 2026'!M23</f>
        <v>7A.4 vector components</v>
      </c>
      <c r="E23" s="117" t="str">
        <f>'Physics 12 2026'!N23</f>
        <v>No class</v>
      </c>
      <c r="F23" s="124" t="str">
        <f>'Physics 12 2026'!O23</f>
        <v>7A.5 find unknown vector</v>
      </c>
    </row>
    <row r="24" spans="1:6" ht="48" customHeight="1" x14ac:dyDescent="0.2">
      <c r="A24" s="108">
        <f>'Physics 12 2026'!B24</f>
        <v>46230</v>
      </c>
      <c r="B24" s="124" t="str">
        <f>'Physics 12 2026'!K24</f>
        <v>7B.1 interpret s-t graph; 7B.2 gradient s-t = velocity</v>
      </c>
      <c r="C24" s="124" t="str">
        <f>'Physics 12 2026'!L24</f>
        <v>7B.3 interpret v-t graph</v>
      </c>
      <c r="D24" s="124" t="str">
        <f>'Physics 12 2026'!M24</f>
        <v>7B.4 gradient v-t = acceleration; 7B.5 area under v-t = displacement</v>
      </c>
      <c r="E24" s="124" t="str">
        <f>'Physics 12 2026'!N24</f>
        <v>7B.6 interpret a-t graph</v>
      </c>
      <c r="F24" s="124" t="str">
        <f>'Physics 12 2026'!O24</f>
        <v>7B.7 area under a-t = Δv</v>
      </c>
    </row>
    <row r="25" spans="1:6" ht="48" customHeight="1" x14ac:dyDescent="0.2">
      <c r="A25" s="108">
        <f>'Physics 12 2026'!B25</f>
        <v>46237</v>
      </c>
      <c r="B25" s="124" t="str">
        <f>'Physics 12 2026'!K25</f>
        <v>7C.1 SUVAT equations</v>
      </c>
      <c r="C25" s="124" t="str">
        <f>'Physics 12 2026'!L25</f>
        <v>8A.1 p = mv momentum; 8A.2 momentum conservation</v>
      </c>
      <c r="D25" s="124" t="str">
        <f>'Physics 12 2026'!M25</f>
        <v>8A.3 collision momentum problems</v>
      </c>
      <c r="E25" s="117" t="str">
        <f>'Physics 12 2026'!N25</f>
        <v>No class</v>
      </c>
      <c r="F25" s="125" t="str">
        <f>'Physics 12 2026'!O25</f>
        <v>Ch7 Test</v>
      </c>
    </row>
    <row r="26" spans="1:6" ht="48" customHeight="1" x14ac:dyDescent="0.2">
      <c r="A26" s="108">
        <f>'Physics 12 2026'!B26</f>
        <v>46244</v>
      </c>
      <c r="B26" s="124" t="str">
        <f>'Physics 12 2026'!K26</f>
        <v>8A.4 elastic vs inelastic maths</v>
      </c>
      <c r="C26" s="124" t="str">
        <f>'Physics 12 2026'!L26</f>
        <v>8A.5 I = Δp = mΔv = FΔt impulse</v>
      </c>
      <c r="D26" s="124" t="str">
        <f>'Physics 12 2026'!M26</f>
        <v>8A.6 area under F-t = impulse</v>
      </c>
      <c r="E26" s="124" t="str">
        <f>'Physics 12 2026'!N26</f>
        <v>8B.1 Newton's three laws; 8B.2 add forces → net force</v>
      </c>
      <c r="F26" s="124" t="str">
        <f>'Physics 12 2026'!O26</f>
        <v>8B.3 Fnet = ma calculations</v>
      </c>
    </row>
    <row r="27" spans="1:6" ht="48" customHeight="1" x14ac:dyDescent="0.2">
      <c r="A27" s="108">
        <f>'Physics 12 2026'!B27</f>
        <v>46251</v>
      </c>
      <c r="B27" s="124" t="str">
        <f>'Physics 12 2026'!K27</f>
        <v>8B.4 normal force concept; 8B.5 Newton's laws applications</v>
      </c>
      <c r="C27" s="124" t="str">
        <f>'Physics 12 2026'!L27</f>
        <v>8B.6 force naming convention</v>
      </c>
      <c r="D27" s="124" t="str">
        <f>'Physics 12 2026'!M27</f>
        <v>8B.7 mass vs weight (Fg)</v>
      </c>
      <c r="E27" s="117" t="str">
        <f>'Physics 12 2026'!N27</f>
        <v>No class</v>
      </c>
      <c r="F27" s="124" t="str">
        <f>'Physics 12 2026'!O27</f>
        <v>8B.8 Fg at centre of mass</v>
      </c>
    </row>
    <row r="28" spans="1:6" ht="48" customHeight="1" x14ac:dyDescent="0.2">
      <c r="A28" s="108">
        <f>'Physics 12 2026'!B28</f>
        <v>46258</v>
      </c>
      <c r="B28" s="124" t="str">
        <f>'Physics 12 2026'!K28</f>
        <v>8B.9 motion &amp; vehicle safety</v>
      </c>
      <c r="C28" s="124" t="str">
        <f>'Physics 12 2026'!L28</f>
        <v>8C.1 τ = r⊥F torque; 8C.2 rotational equilibrium Στ = 0</v>
      </c>
      <c r="D28" s="124" t="str">
        <f>'Physics 12 2026'!M28</f>
        <v>8C.3 translational equilibrium ΣF = 0</v>
      </c>
      <c r="E28" s="124" t="str">
        <f>'Physics 12 2026'!N28</f>
        <v>9A.1 work needs parallel force; 9A.2 W = Fs cos θ</v>
      </c>
      <c r="F28" s="125" t="str">
        <f>'Physics 12 2026'!O28</f>
        <v>Ch8 Test</v>
      </c>
    </row>
    <row r="29" spans="1:6" ht="32" customHeight="1" x14ac:dyDescent="0.2">
      <c r="A29" s="108">
        <f>'Physics 12 2026'!B29</f>
        <v>46265</v>
      </c>
      <c r="B29" s="124" t="str">
        <f>'Physics 12 2026'!K29</f>
        <v>9A.3 area under F-s = work</v>
      </c>
      <c r="C29" s="124" t="str">
        <f>'Physics 12 2026'!L29</f>
        <v>9B.1 Eg = mgΔh; 9B.2 Ek = ½mv²</v>
      </c>
      <c r="D29" s="124" t="str">
        <f>'Physics 12 2026'!M29</f>
        <v>9B.3 Ek ∝ v²</v>
      </c>
      <c r="E29" s="117" t="str">
        <f>'Physics 12 2026'!N29</f>
        <v>No class</v>
      </c>
      <c r="F29" s="124" t="str">
        <f>'Physics 12 2026'!O29</f>
        <v>9B.4 ΔEk = ½mv² − ½mu²; 9B.5 closed system energy conserved</v>
      </c>
    </row>
    <row r="30" spans="1:6" ht="48" customHeight="1" x14ac:dyDescent="0.2">
      <c r="A30" s="108">
        <f>'Physics 12 2026'!B30</f>
        <v>46272</v>
      </c>
      <c r="B30" s="124" t="str">
        <f>'Physics 12 2026'!K30</f>
        <v>9B.6 Ek + Eg conservation</v>
      </c>
      <c r="C30" s="124" t="str">
        <f>'Physics 12 2026'!L30</f>
        <v>9B.7 P = E/t power</v>
      </c>
      <c r="D30" s="124" t="str">
        <f>'Physics 12 2026'!M30</f>
        <v>9B.8 η = useful/total efficiency</v>
      </c>
      <c r="E30" s="124" t="str">
        <f>'Physics 12 2026'!N30</f>
        <v>9C.1 F-x graph gradient = k; 9C.2 Hooke's law F = −kx</v>
      </c>
      <c r="F30" s="124" t="str">
        <f>'Physics 12 2026'!O30</f>
        <v>9C.3 Es = ½kx²</v>
      </c>
    </row>
    <row r="31" spans="1:6" ht="31" customHeight="1" x14ac:dyDescent="0.2">
      <c r="A31" s="108">
        <f>'Physics 12 2026'!B31</f>
        <v>46279</v>
      </c>
      <c r="B31" s="124" t="str">
        <f>'Physics 12 2026'!K31</f>
        <v>9C.4 Es ∝ x²</v>
      </c>
      <c r="C31" s="124" t="str">
        <f>'Physics 12 2026'!L31</f>
        <v>9C.5 Es → other energy transforms</v>
      </c>
      <c r="D31" s="124" t="str">
        <f>'Physics 12 2026'!M31</f>
        <v>9C.6 oscillating spring energy</v>
      </c>
      <c r="E31" s="117" t="str">
        <f>'Physics 12 2026'!N31</f>
        <v>No class</v>
      </c>
      <c r="F31" s="125" t="str">
        <f>'Physics 12 2026'!O31</f>
        <v>Ch9 Test</v>
      </c>
    </row>
    <row r="32" spans="1:6" ht="31" customHeight="1" x14ac:dyDescent="0.2">
      <c r="A32" s="116"/>
      <c r="B32" s="117"/>
      <c r="C32" s="117"/>
      <c r="D32" s="117"/>
      <c r="E32" s="117"/>
      <c r="F32" s="117"/>
    </row>
    <row r="33" spans="1:6" ht="31" customHeight="1" x14ac:dyDescent="0.2">
      <c r="A33" s="108">
        <f>'Physics 12 2026'!B33</f>
        <v>46300</v>
      </c>
      <c r="B33" s="109" t="str">
        <f>'Physics 12 2026'!K33</f>
        <v>Options</v>
      </c>
      <c r="C33" s="109" t="str">
        <f>'Physics 12 2026'!L33</f>
        <v>Options</v>
      </c>
      <c r="D33" s="125" t="str">
        <f>'Physics 12 2026'!M33</f>
        <v>U2AOS1 test</v>
      </c>
      <c r="E33" s="125" t="str">
        <f>'Physics 12 2026'!N33</f>
        <v>U2AOS1 test</v>
      </c>
      <c r="F33" s="109" t="str">
        <f>'Physics 12 2026'!O33</f>
        <v>Options</v>
      </c>
    </row>
    <row r="34" spans="1:6" ht="31" customHeight="1" x14ac:dyDescent="0.2">
      <c r="A34" s="108">
        <f>'Physics 12 2026'!B34</f>
        <v>46307</v>
      </c>
      <c r="B34" s="109" t="str">
        <f>'Physics 12 2026'!K34</f>
        <v>Investigation</v>
      </c>
      <c r="C34" s="109" t="str">
        <f>'Physics 12 2026'!L34</f>
        <v>Investigation</v>
      </c>
      <c r="D34" s="109" t="str">
        <f>'Physics 12 2026'!M34</f>
        <v>Investigation</v>
      </c>
      <c r="E34" s="117" t="str">
        <f>'Physics 12 2026'!N34</f>
        <v>No class</v>
      </c>
      <c r="F34" s="109" t="str">
        <f>'Physics 12 2026'!O34</f>
        <v>Investigation</v>
      </c>
    </row>
    <row r="35" spans="1:6" ht="31" customHeight="1" x14ac:dyDescent="0.2">
      <c r="A35" s="108">
        <f>'Physics 12 2026'!B35</f>
        <v>46314</v>
      </c>
      <c r="B35" s="109" t="str">
        <f>'Physics 12 2026'!K35</f>
        <v>Rockets</v>
      </c>
      <c r="C35" s="109" t="str">
        <f>'Physics 12 2026'!L35</f>
        <v>Rockets</v>
      </c>
      <c r="D35" s="109" t="str">
        <f>'Physics 12 2026'!M35</f>
        <v>Rockets</v>
      </c>
      <c r="E35" s="109" t="str">
        <f>'Physics 12 2026'!N35</f>
        <v>Investigation</v>
      </c>
      <c r="F35" s="109" t="str">
        <f>'Physics 12 2026'!O35</f>
        <v>Investigation</v>
      </c>
    </row>
    <row r="36" spans="1:6" ht="31" customHeight="1" x14ac:dyDescent="0.2">
      <c r="A36" s="108">
        <f>'Physics 12 2026'!B36</f>
        <v>46321</v>
      </c>
      <c r="B36" s="109" t="str">
        <f>'Physics 12 2026'!K36</f>
        <v>Relativity?</v>
      </c>
      <c r="C36" s="109" t="str">
        <f>'Physics 12 2026'!L36</f>
        <v>Relativity?</v>
      </c>
      <c r="D36" s="109" t="str">
        <f>'Physics 12 2026'!M36</f>
        <v>Relativity?</v>
      </c>
      <c r="E36" s="117" t="str">
        <f>'Physics 12 2026'!N36</f>
        <v>No class</v>
      </c>
      <c r="F36" s="109" t="str">
        <f>'Physics 12 2026'!O36</f>
        <v>Relativity?</v>
      </c>
    </row>
    <row r="37" spans="1:6" ht="31" customHeight="1" x14ac:dyDescent="0.2">
      <c r="A37" s="108">
        <f>'Physics 12 2026'!B37</f>
        <v>46328</v>
      </c>
      <c r="B37" s="117" t="str">
        <f>'Physics 12 2026'!K37</f>
        <v>Cup Weekend</v>
      </c>
      <c r="C37" s="117" t="str">
        <f>'Physics 12 2026'!L37</f>
        <v>Cup Weekend</v>
      </c>
      <c r="D37" s="109" t="str">
        <f>'Physics 12 2026'!M37</f>
        <v>Exam review</v>
      </c>
      <c r="E37" s="109" t="str">
        <f>'Physics 12 2026'!N37</f>
        <v>Exam review</v>
      </c>
      <c r="F37" s="109" t="str">
        <f>'Physics 12 2026'!O37</f>
        <v>Exam review</v>
      </c>
    </row>
    <row r="38" spans="1:6" ht="31" customHeight="1" x14ac:dyDescent="0.2">
      <c r="A38" s="108">
        <f>'Physics 12 2026'!B38</f>
        <v>46335</v>
      </c>
      <c r="B38" s="109" t="str">
        <f>'Physics 12 2026'!K38</f>
        <v>Exam review</v>
      </c>
      <c r="C38" s="109" t="str">
        <f>'Physics 12 2026'!L38</f>
        <v>Exam review</v>
      </c>
      <c r="D38" s="109" t="str">
        <f>'Physics 12 2026'!M38</f>
        <v>Exam review</v>
      </c>
      <c r="E38" s="109" t="str">
        <f>'Physics 12 2026'!N38</f>
        <v>No class</v>
      </c>
      <c r="F38" s="117" t="str">
        <f>'Physics 12 2026'!O38</f>
        <v>10-11 exams</v>
      </c>
    </row>
    <row r="39" spans="1:6" ht="31" customHeight="1" x14ac:dyDescent="0.2">
      <c r="A39" s="108">
        <f>'Physics 12 2026'!B39</f>
        <v>46342</v>
      </c>
      <c r="B39" s="117" t="str">
        <f>'Physics 12 2026'!K39</f>
        <v>10-11 exams</v>
      </c>
      <c r="C39" s="117" t="str">
        <f>'Physics 12 2026'!L39</f>
        <v>10-11 exams</v>
      </c>
      <c r="D39" s="117" t="str">
        <f>'Physics 12 2026'!M39</f>
        <v>10-11 exams</v>
      </c>
      <c r="E39" s="117" t="str">
        <f>'Physics 12 2026'!N39</f>
        <v>10-11 exams</v>
      </c>
      <c r="F39" s="117" t="str">
        <f>'Physics 12 2026'!O39</f>
        <v>10-11 exams</v>
      </c>
    </row>
    <row r="40" spans="1:6" ht="31" customHeight="1" x14ac:dyDescent="0.2">
      <c r="A40" s="108">
        <f>'Physics 12 2026'!B40</f>
        <v>46349</v>
      </c>
      <c r="B40" s="117" t="str">
        <f>'Physics 12 2026'!K40</f>
        <v>VCE Camp</v>
      </c>
      <c r="C40" s="117" t="str">
        <f>'Physics 12 2026'!L40</f>
        <v>VCE Camp</v>
      </c>
      <c r="D40" s="117" t="str">
        <f>'Physics 12 2026'!M40</f>
        <v>VCE Camp</v>
      </c>
      <c r="E40" s="117" t="str">
        <f>'Physics 12 2026'!N40</f>
        <v>Students Cease</v>
      </c>
      <c r="F40" s="109"/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topLeftCell="G1" workbookViewId="0">
      <pane ySplit="2" topLeftCell="A3" activePane="bottomLeft" state="frozen"/>
      <selection pane="bottomLeft" activeCell="X8" sqref="X8"/>
    </sheetView>
  </sheetViews>
  <sheetFormatPr baseColWidth="10" defaultColWidth="14.5" defaultRowHeight="15" customHeight="1" x14ac:dyDescent="0.15"/>
  <cols>
    <col min="1" max="1" width="6.5" style="1" customWidth="1"/>
    <col min="2" max="2" width="12" style="1" customWidth="1"/>
    <col min="3" max="3" width="2.5" style="1" customWidth="1"/>
    <col min="4" max="4" width="3.83203125" style="1" customWidth="1"/>
    <col min="5" max="9" width="7.1640625" style="1" customWidth="1"/>
    <col min="10" max="12" width="18.83203125" style="1" customWidth="1"/>
    <col min="13" max="13" width="14" style="1" customWidth="1"/>
    <col min="14" max="14" width="18.83203125" style="1" customWidth="1"/>
    <col min="15" max="15" width="7.1640625" style="1" customWidth="1"/>
    <col min="16" max="20" width="9.33203125" style="1" customWidth="1"/>
    <col min="21" max="25" width="18.6640625" style="1" customWidth="1"/>
    <col min="26" max="26" width="9.6640625" style="1" customWidth="1"/>
    <col min="27" max="27" width="4.5" style="1" customWidth="1"/>
    <col min="28" max="28" width="33.6640625" style="43" bestFit="1" customWidth="1"/>
    <col min="29" max="29" width="77.5" style="1" bestFit="1" customWidth="1"/>
    <col min="30" max="41" width="14.5" style="1" customWidth="1"/>
    <col min="42" max="16384" width="14.5" style="1"/>
  </cols>
  <sheetData>
    <row r="1" spans="1:29" ht="15" customHeight="1" x14ac:dyDescent="0.15">
      <c r="A1" s="36"/>
      <c r="B1" s="36"/>
      <c r="C1" s="36"/>
      <c r="D1" s="13" t="s">
        <v>11</v>
      </c>
      <c r="E1" s="13" t="s">
        <v>11</v>
      </c>
      <c r="F1" s="14"/>
      <c r="G1" s="14"/>
      <c r="H1" s="14"/>
      <c r="I1" s="14"/>
      <c r="J1" s="36"/>
      <c r="K1" s="36"/>
      <c r="L1" s="36"/>
      <c r="M1" s="36"/>
      <c r="N1" s="36"/>
      <c r="O1" s="14" t="s">
        <v>12</v>
      </c>
      <c r="P1" s="14" t="s">
        <v>12</v>
      </c>
      <c r="Q1" s="14"/>
      <c r="R1" s="14"/>
      <c r="S1" s="14"/>
      <c r="T1" s="15"/>
      <c r="U1" s="36"/>
      <c r="V1" s="36"/>
      <c r="W1" s="36"/>
      <c r="X1" s="36"/>
      <c r="Y1" s="36"/>
      <c r="Z1" s="36"/>
      <c r="AA1" s="36"/>
      <c r="AB1" s="74"/>
      <c r="AC1" s="36"/>
    </row>
    <row r="2" spans="1:29" ht="30" customHeight="1" x14ac:dyDescent="0.15">
      <c r="A2" s="17" t="s">
        <v>13</v>
      </c>
      <c r="B2" s="45" t="s">
        <v>0</v>
      </c>
      <c r="C2" s="17"/>
      <c r="D2" s="17" t="s">
        <v>14</v>
      </c>
      <c r="E2" s="16" t="s">
        <v>15</v>
      </c>
      <c r="F2" s="17" t="s">
        <v>16</v>
      </c>
      <c r="G2" s="17" t="s">
        <v>17</v>
      </c>
      <c r="H2" s="17" t="s">
        <v>16</v>
      </c>
      <c r="I2" s="17" t="s">
        <v>18</v>
      </c>
      <c r="J2" s="17" t="s">
        <v>8</v>
      </c>
      <c r="K2" s="46" t="s">
        <v>8</v>
      </c>
      <c r="L2" s="46" t="s">
        <v>2</v>
      </c>
      <c r="M2" s="46" t="s">
        <v>3</v>
      </c>
      <c r="N2" s="46" t="s">
        <v>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16</v>
      </c>
      <c r="T2" s="18" t="s">
        <v>18</v>
      </c>
      <c r="U2" s="17" t="s">
        <v>1</v>
      </c>
      <c r="V2" s="46" t="s">
        <v>1</v>
      </c>
      <c r="W2" s="46" t="s">
        <v>2</v>
      </c>
      <c r="X2" s="46" t="s">
        <v>3</v>
      </c>
      <c r="Y2" s="17" t="s">
        <v>3</v>
      </c>
      <c r="Z2" s="47"/>
      <c r="AA2" s="17"/>
      <c r="AB2" s="74"/>
      <c r="AC2" s="36"/>
    </row>
    <row r="3" spans="1:29" ht="14" customHeight="1" x14ac:dyDescent="0.15">
      <c r="A3" s="2">
        <v>44927</v>
      </c>
      <c r="B3" s="3">
        <v>46055</v>
      </c>
      <c r="C3" s="48" t="s">
        <v>19</v>
      </c>
      <c r="D3" s="49">
        <f t="shared" ref="D3:D22" si="0">SUM(E3:I3)</f>
        <v>3</v>
      </c>
      <c r="E3" s="19" t="s">
        <v>20</v>
      </c>
      <c r="F3" s="20" t="s">
        <v>21</v>
      </c>
      <c r="G3" s="21">
        <v>1</v>
      </c>
      <c r="H3" s="21">
        <v>2</v>
      </c>
      <c r="I3" s="21"/>
      <c r="J3" s="22" t="s">
        <v>20</v>
      </c>
      <c r="K3" s="22" t="s">
        <v>20</v>
      </c>
      <c r="L3" s="75" t="s">
        <v>22</v>
      </c>
      <c r="M3" s="75" t="s">
        <v>23</v>
      </c>
      <c r="N3" s="75" t="s">
        <v>24</v>
      </c>
      <c r="O3" s="21">
        <f t="shared" ref="O3:O30" si="1">SUM(P3:T3)</f>
        <v>2</v>
      </c>
      <c r="P3" s="22" t="s">
        <v>20</v>
      </c>
      <c r="Q3" s="20" t="s">
        <v>21</v>
      </c>
      <c r="R3" s="21">
        <v>1</v>
      </c>
      <c r="S3" s="21">
        <v>1</v>
      </c>
      <c r="T3" s="23"/>
      <c r="U3" s="22" t="s">
        <v>20</v>
      </c>
      <c r="V3" s="22" t="s">
        <v>20</v>
      </c>
      <c r="W3" s="22" t="s">
        <v>25</v>
      </c>
      <c r="X3" s="75" t="s">
        <v>22</v>
      </c>
      <c r="Y3" s="22" t="s">
        <v>26</v>
      </c>
      <c r="Z3" s="52" t="s">
        <v>27</v>
      </c>
      <c r="AA3" s="36">
        <v>1</v>
      </c>
      <c r="AB3" s="75" t="s">
        <v>22</v>
      </c>
      <c r="AC3" s="52" t="s">
        <v>28</v>
      </c>
    </row>
    <row r="4" spans="1:29" ht="14" customHeight="1" x14ac:dyDescent="0.15">
      <c r="A4" s="2">
        <v>44928</v>
      </c>
      <c r="B4" s="3">
        <f t="shared" ref="B4:B11" si="2">B3+7</f>
        <v>46062</v>
      </c>
      <c r="C4" s="48" t="s">
        <v>29</v>
      </c>
      <c r="D4" s="49">
        <f t="shared" si="0"/>
        <v>4</v>
      </c>
      <c r="E4" s="24">
        <v>1</v>
      </c>
      <c r="F4" s="22" t="s">
        <v>30</v>
      </c>
      <c r="G4" s="21">
        <v>1</v>
      </c>
      <c r="H4" s="21">
        <v>2</v>
      </c>
      <c r="I4" s="21"/>
      <c r="J4" s="52" t="s">
        <v>31</v>
      </c>
      <c r="K4" s="22" t="s">
        <v>26</v>
      </c>
      <c r="L4" s="75" t="s">
        <v>32</v>
      </c>
      <c r="M4" s="52" t="s">
        <v>33</v>
      </c>
      <c r="N4" s="52" t="s">
        <v>34</v>
      </c>
      <c r="O4" s="21">
        <f t="shared" si="1"/>
        <v>3</v>
      </c>
      <c r="P4" s="21"/>
      <c r="Q4" s="22" t="s">
        <v>30</v>
      </c>
      <c r="R4" s="26">
        <v>1</v>
      </c>
      <c r="S4" s="26">
        <v>2</v>
      </c>
      <c r="T4" s="23"/>
      <c r="U4" s="52" t="s">
        <v>23</v>
      </c>
      <c r="V4" s="52" t="s">
        <v>24</v>
      </c>
      <c r="W4" s="52" t="s">
        <v>31</v>
      </c>
      <c r="X4" s="52" t="s">
        <v>32</v>
      </c>
      <c r="Y4" s="52" t="s">
        <v>33</v>
      </c>
      <c r="Z4" s="52" t="s">
        <v>27</v>
      </c>
      <c r="AA4" s="36">
        <v>2</v>
      </c>
      <c r="AB4" s="75" t="s">
        <v>23</v>
      </c>
      <c r="AC4" s="52" t="s">
        <v>35</v>
      </c>
    </row>
    <row r="5" spans="1:29" ht="16.5" customHeight="1" x14ac:dyDescent="0.15">
      <c r="A5" s="2">
        <v>44929</v>
      </c>
      <c r="B5" s="3">
        <f t="shared" si="2"/>
        <v>46069</v>
      </c>
      <c r="C5" s="48" t="s">
        <v>19</v>
      </c>
      <c r="D5" s="49">
        <f t="shared" si="0"/>
        <v>5</v>
      </c>
      <c r="E5" s="24">
        <v>2</v>
      </c>
      <c r="F5" s="21"/>
      <c r="G5" s="21">
        <v>1</v>
      </c>
      <c r="H5" s="21">
        <v>2</v>
      </c>
      <c r="I5" s="21"/>
      <c r="J5" s="52" t="s">
        <v>36</v>
      </c>
      <c r="K5" s="52" t="s">
        <v>37</v>
      </c>
      <c r="L5" s="52" t="s">
        <v>38</v>
      </c>
      <c r="M5" s="52" t="s">
        <v>39</v>
      </c>
      <c r="N5" s="52" t="s">
        <v>40</v>
      </c>
      <c r="O5" s="21">
        <f t="shared" si="1"/>
        <v>4</v>
      </c>
      <c r="P5" s="21"/>
      <c r="Q5" s="21">
        <v>2</v>
      </c>
      <c r="R5" s="21">
        <v>1</v>
      </c>
      <c r="S5" s="21">
        <v>1</v>
      </c>
      <c r="T5" s="23"/>
      <c r="U5" s="52" t="s">
        <v>34</v>
      </c>
      <c r="V5" s="52" t="s">
        <v>36</v>
      </c>
      <c r="W5" s="76" t="s">
        <v>37</v>
      </c>
      <c r="X5" s="76" t="s">
        <v>38</v>
      </c>
      <c r="Y5" s="22" t="s">
        <v>26</v>
      </c>
      <c r="Z5" s="52" t="s">
        <v>27</v>
      </c>
      <c r="AA5" s="36">
        <v>3</v>
      </c>
      <c r="AB5" s="75" t="s">
        <v>41</v>
      </c>
      <c r="AC5" s="52" t="s">
        <v>42</v>
      </c>
    </row>
    <row r="6" spans="1:29" ht="14" customHeight="1" x14ac:dyDescent="0.15">
      <c r="A6" s="2">
        <v>44930</v>
      </c>
      <c r="B6" s="3">
        <f t="shared" si="2"/>
        <v>46076</v>
      </c>
      <c r="C6" s="48" t="s">
        <v>29</v>
      </c>
      <c r="D6" s="49">
        <f t="shared" si="0"/>
        <v>4</v>
      </c>
      <c r="E6" s="25">
        <v>1</v>
      </c>
      <c r="F6" s="26"/>
      <c r="G6" s="26">
        <v>1</v>
      </c>
      <c r="H6" s="26">
        <v>2</v>
      </c>
      <c r="I6" s="26"/>
      <c r="J6" s="76" t="s">
        <v>43</v>
      </c>
      <c r="K6" s="22" t="s">
        <v>26</v>
      </c>
      <c r="L6" s="76" t="s">
        <v>44</v>
      </c>
      <c r="M6" s="76" t="s">
        <v>45</v>
      </c>
      <c r="N6" s="76" t="s">
        <v>46</v>
      </c>
      <c r="O6" s="21">
        <f t="shared" si="1"/>
        <v>5</v>
      </c>
      <c r="P6" s="26"/>
      <c r="Q6" s="26">
        <v>2</v>
      </c>
      <c r="R6" s="26">
        <v>1</v>
      </c>
      <c r="S6" s="26">
        <v>2</v>
      </c>
      <c r="T6" s="27"/>
      <c r="U6" s="22" t="s">
        <v>30</v>
      </c>
      <c r="V6" s="22" t="s">
        <v>30</v>
      </c>
      <c r="W6" s="76" t="s">
        <v>39</v>
      </c>
      <c r="X6" s="76" t="s">
        <v>40</v>
      </c>
      <c r="Y6" s="52" t="s">
        <v>43</v>
      </c>
      <c r="Z6" s="52" t="s">
        <v>47</v>
      </c>
      <c r="AA6" s="36">
        <v>4</v>
      </c>
      <c r="AB6" s="75" t="s">
        <v>48</v>
      </c>
      <c r="AC6" s="52" t="s">
        <v>49</v>
      </c>
    </row>
    <row r="7" spans="1:29" ht="14" customHeight="1" x14ac:dyDescent="0.15">
      <c r="A7" s="2">
        <v>44931</v>
      </c>
      <c r="B7" s="3">
        <f t="shared" si="2"/>
        <v>46083</v>
      </c>
      <c r="C7" s="48" t="s">
        <v>19</v>
      </c>
      <c r="D7" s="49">
        <f t="shared" si="0"/>
        <v>5</v>
      </c>
      <c r="E7" s="24">
        <v>2</v>
      </c>
      <c r="F7" s="21"/>
      <c r="G7" s="26">
        <v>1</v>
      </c>
      <c r="H7" s="26">
        <v>2</v>
      </c>
      <c r="I7" s="21"/>
      <c r="J7" s="52" t="s">
        <v>50</v>
      </c>
      <c r="K7" s="52" t="s">
        <v>51</v>
      </c>
      <c r="L7" s="52" t="s">
        <v>52</v>
      </c>
      <c r="M7" s="36" t="s">
        <v>53</v>
      </c>
      <c r="N7" s="36" t="s">
        <v>53</v>
      </c>
      <c r="O7" s="21">
        <f t="shared" si="1"/>
        <v>4</v>
      </c>
      <c r="P7" s="21"/>
      <c r="Q7" s="21">
        <v>2</v>
      </c>
      <c r="R7" s="21">
        <v>1</v>
      </c>
      <c r="S7" s="21">
        <v>1</v>
      </c>
      <c r="T7" s="23"/>
      <c r="U7" s="52" t="s">
        <v>44</v>
      </c>
      <c r="V7" s="52" t="s">
        <v>45</v>
      </c>
      <c r="W7" s="52" t="s">
        <v>46</v>
      </c>
      <c r="X7" s="36" t="s">
        <v>53</v>
      </c>
      <c r="Y7" s="22" t="s">
        <v>26</v>
      </c>
      <c r="Z7" s="52" t="s">
        <v>47</v>
      </c>
      <c r="AA7" s="36">
        <v>5</v>
      </c>
      <c r="AB7" s="75" t="s">
        <v>31</v>
      </c>
      <c r="AC7" s="52" t="s">
        <v>54</v>
      </c>
    </row>
    <row r="8" spans="1:29" ht="14" customHeight="1" x14ac:dyDescent="0.15">
      <c r="A8" s="2">
        <v>44932</v>
      </c>
      <c r="B8" s="3">
        <f t="shared" si="2"/>
        <v>46090</v>
      </c>
      <c r="C8" s="48" t="s">
        <v>29</v>
      </c>
      <c r="D8" s="49">
        <f t="shared" si="0"/>
        <v>3</v>
      </c>
      <c r="E8" s="19" t="s">
        <v>55</v>
      </c>
      <c r="F8" s="21"/>
      <c r="G8" s="26">
        <v>1</v>
      </c>
      <c r="H8" s="26">
        <v>2</v>
      </c>
      <c r="I8" s="26"/>
      <c r="J8" s="22" t="s">
        <v>55</v>
      </c>
      <c r="K8" s="22" t="s">
        <v>55</v>
      </c>
      <c r="L8" s="77" t="s">
        <v>56</v>
      </c>
      <c r="M8" s="77" t="s">
        <v>57</v>
      </c>
      <c r="N8" s="77" t="s">
        <v>58</v>
      </c>
      <c r="O8" s="21">
        <f t="shared" si="1"/>
        <v>5</v>
      </c>
      <c r="P8" s="22" t="s">
        <v>55</v>
      </c>
      <c r="Q8" s="26">
        <v>2</v>
      </c>
      <c r="R8" s="26">
        <v>1</v>
      </c>
      <c r="S8" s="26">
        <v>2</v>
      </c>
      <c r="T8" s="27"/>
      <c r="U8" s="52" t="s">
        <v>50</v>
      </c>
      <c r="V8" s="78" t="s">
        <v>51</v>
      </c>
      <c r="W8" s="78" t="s">
        <v>52</v>
      </c>
      <c r="X8" s="133" t="s">
        <v>59</v>
      </c>
      <c r="Y8" s="79" t="s">
        <v>56</v>
      </c>
      <c r="Z8" s="52" t="s">
        <v>47</v>
      </c>
      <c r="AA8" s="36">
        <v>6</v>
      </c>
      <c r="AB8" s="75" t="s">
        <v>60</v>
      </c>
      <c r="AC8" s="52" t="s">
        <v>61</v>
      </c>
    </row>
    <row r="9" spans="1:29" ht="14" customHeight="1" x14ac:dyDescent="0.15">
      <c r="A9" s="2">
        <v>44933</v>
      </c>
      <c r="B9" s="3">
        <f t="shared" si="2"/>
        <v>46097</v>
      </c>
      <c r="C9" s="48" t="s">
        <v>19</v>
      </c>
      <c r="D9" s="49">
        <f t="shared" si="0"/>
        <v>5</v>
      </c>
      <c r="E9" s="24">
        <v>2</v>
      </c>
      <c r="F9" s="21"/>
      <c r="G9" s="26">
        <v>1</v>
      </c>
      <c r="H9" s="26">
        <v>2</v>
      </c>
      <c r="I9" s="21"/>
      <c r="J9" s="77" t="s">
        <v>59</v>
      </c>
      <c r="K9" s="77" t="s">
        <v>62</v>
      </c>
      <c r="L9" s="77" t="s">
        <v>63</v>
      </c>
      <c r="M9" s="77" t="s">
        <v>64</v>
      </c>
      <c r="N9" s="77" t="s">
        <v>65</v>
      </c>
      <c r="O9" s="21">
        <f t="shared" si="1"/>
        <v>4</v>
      </c>
      <c r="P9" s="21"/>
      <c r="Q9" s="21">
        <v>2</v>
      </c>
      <c r="R9" s="21">
        <v>1</v>
      </c>
      <c r="S9" s="21">
        <v>1</v>
      </c>
      <c r="T9" s="23"/>
      <c r="U9" s="77" t="s">
        <v>57</v>
      </c>
      <c r="V9" s="77" t="s">
        <v>62</v>
      </c>
      <c r="W9" s="77" t="s">
        <v>58</v>
      </c>
      <c r="X9" s="77" t="s">
        <v>63</v>
      </c>
      <c r="Y9" s="22" t="s">
        <v>26</v>
      </c>
      <c r="Z9" s="52" t="s">
        <v>47</v>
      </c>
      <c r="AA9" s="36">
        <v>7</v>
      </c>
      <c r="AB9" s="75" t="s">
        <v>66</v>
      </c>
      <c r="AC9" s="52" t="s">
        <v>67</v>
      </c>
    </row>
    <row r="10" spans="1:29" ht="14" customHeight="1" x14ac:dyDescent="0.15">
      <c r="A10" s="2">
        <v>44934</v>
      </c>
      <c r="B10" s="3">
        <f t="shared" si="2"/>
        <v>46104</v>
      </c>
      <c r="C10" s="48" t="s">
        <v>29</v>
      </c>
      <c r="D10" s="49">
        <f t="shared" si="0"/>
        <v>4</v>
      </c>
      <c r="E10" s="24">
        <v>1</v>
      </c>
      <c r="F10" s="80" t="s">
        <v>68</v>
      </c>
      <c r="G10" s="26">
        <v>1</v>
      </c>
      <c r="H10" s="26">
        <v>2</v>
      </c>
      <c r="I10" s="22" t="s">
        <v>69</v>
      </c>
      <c r="J10" s="77" t="s">
        <v>70</v>
      </c>
      <c r="K10" s="22" t="s">
        <v>26</v>
      </c>
      <c r="L10" s="77" t="s">
        <v>71</v>
      </c>
      <c r="M10" s="77" t="s">
        <v>72</v>
      </c>
      <c r="N10" s="77" t="s">
        <v>73</v>
      </c>
      <c r="O10" s="21">
        <f t="shared" si="1"/>
        <v>5</v>
      </c>
      <c r="P10" s="80" t="s">
        <v>68</v>
      </c>
      <c r="Q10" s="26">
        <v>2</v>
      </c>
      <c r="R10" s="26">
        <v>1</v>
      </c>
      <c r="S10" s="26">
        <v>2</v>
      </c>
      <c r="T10" s="28" t="s">
        <v>69</v>
      </c>
      <c r="U10" s="77" t="s">
        <v>64</v>
      </c>
      <c r="V10" s="77" t="s">
        <v>65</v>
      </c>
      <c r="W10" s="77" t="s">
        <v>70</v>
      </c>
      <c r="X10" s="77" t="s">
        <v>71</v>
      </c>
      <c r="Y10" s="77" t="s">
        <v>72</v>
      </c>
      <c r="Z10" s="52" t="s">
        <v>47</v>
      </c>
      <c r="AA10" s="36">
        <v>8</v>
      </c>
      <c r="AB10" s="75" t="s">
        <v>33</v>
      </c>
      <c r="AC10" s="52" t="s">
        <v>74</v>
      </c>
    </row>
    <row r="11" spans="1:29" ht="14" customHeight="1" x14ac:dyDescent="0.15">
      <c r="A11" s="2">
        <v>44935</v>
      </c>
      <c r="B11" s="3">
        <f t="shared" si="2"/>
        <v>46111</v>
      </c>
      <c r="C11" s="48" t="s">
        <v>19</v>
      </c>
      <c r="D11" s="49">
        <f t="shared" si="0"/>
        <v>5</v>
      </c>
      <c r="E11" s="24">
        <v>2</v>
      </c>
      <c r="F11" s="22" t="s">
        <v>75</v>
      </c>
      <c r="G11" s="26">
        <v>1</v>
      </c>
      <c r="H11" s="26">
        <v>2</v>
      </c>
      <c r="I11" s="22" t="s">
        <v>76</v>
      </c>
      <c r="J11" s="77" t="s">
        <v>77</v>
      </c>
      <c r="K11" s="77" t="s">
        <v>78</v>
      </c>
      <c r="L11" s="77" t="s">
        <v>79</v>
      </c>
      <c r="M11" s="77" t="s">
        <v>80</v>
      </c>
      <c r="N11" s="77" t="s">
        <v>81</v>
      </c>
      <c r="O11" s="21">
        <f t="shared" si="1"/>
        <v>2</v>
      </c>
      <c r="P11" s="21"/>
      <c r="Q11" s="22" t="s">
        <v>75</v>
      </c>
      <c r="R11" s="21">
        <v>1</v>
      </c>
      <c r="S11" s="21">
        <v>1</v>
      </c>
      <c r="T11" s="28" t="s">
        <v>76</v>
      </c>
      <c r="U11" s="22" t="s">
        <v>75</v>
      </c>
      <c r="V11" s="22" t="s">
        <v>75</v>
      </c>
      <c r="W11" s="77" t="s">
        <v>73</v>
      </c>
      <c r="X11" s="77" t="s">
        <v>77</v>
      </c>
      <c r="Y11" s="22" t="s">
        <v>26</v>
      </c>
      <c r="Z11" s="52" t="s">
        <v>47</v>
      </c>
      <c r="AA11" s="36">
        <v>9</v>
      </c>
      <c r="AB11" s="75" t="s">
        <v>82</v>
      </c>
      <c r="AC11" s="52" t="s">
        <v>83</v>
      </c>
    </row>
    <row r="12" spans="1:29" ht="14" customHeight="1" x14ac:dyDescent="0.15">
      <c r="A12" s="4"/>
      <c r="B12" s="5"/>
      <c r="C12" s="30"/>
      <c r="D12" s="59">
        <f t="shared" si="0"/>
        <v>0</v>
      </c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21">
        <f t="shared" si="1"/>
        <v>0</v>
      </c>
      <c r="P12" s="30"/>
      <c r="Q12" s="30"/>
      <c r="R12" s="30"/>
      <c r="S12" s="30"/>
      <c r="T12" s="31"/>
      <c r="U12" s="30"/>
      <c r="V12" s="30"/>
      <c r="W12" s="30"/>
      <c r="X12" s="30"/>
      <c r="Y12" s="30"/>
      <c r="Z12" s="52" t="s">
        <v>47</v>
      </c>
      <c r="AA12" s="36">
        <v>10</v>
      </c>
      <c r="AB12" s="75" t="s">
        <v>84</v>
      </c>
      <c r="AC12" s="52" t="s">
        <v>85</v>
      </c>
    </row>
    <row r="13" spans="1:29" ht="14" customHeight="1" x14ac:dyDescent="0.15">
      <c r="A13" s="6">
        <v>44958</v>
      </c>
      <c r="B13" s="7">
        <f>B11+21</f>
        <v>46132</v>
      </c>
      <c r="C13" s="48" t="s">
        <v>29</v>
      </c>
      <c r="D13" s="49">
        <f t="shared" si="0"/>
        <v>3</v>
      </c>
      <c r="E13" s="19" t="s">
        <v>86</v>
      </c>
      <c r="F13" s="21"/>
      <c r="G13" s="21">
        <v>1</v>
      </c>
      <c r="H13" s="21">
        <v>2</v>
      </c>
      <c r="I13" s="21"/>
      <c r="J13" s="22" t="s">
        <v>86</v>
      </c>
      <c r="K13" s="22" t="s">
        <v>26</v>
      </c>
      <c r="L13" s="81" t="s">
        <v>87</v>
      </c>
      <c r="M13" s="81" t="s">
        <v>88</v>
      </c>
      <c r="N13" s="81" t="s">
        <v>89</v>
      </c>
      <c r="O13" s="21">
        <f t="shared" si="1"/>
        <v>5</v>
      </c>
      <c r="P13" s="22" t="s">
        <v>86</v>
      </c>
      <c r="Q13" s="21">
        <v>2</v>
      </c>
      <c r="R13" s="26">
        <v>1</v>
      </c>
      <c r="S13" s="26">
        <v>2</v>
      </c>
      <c r="T13" s="23"/>
      <c r="U13" s="77" t="s">
        <v>78</v>
      </c>
      <c r="V13" s="79" t="s">
        <v>79</v>
      </c>
      <c r="W13" s="79" t="s">
        <v>80</v>
      </c>
      <c r="X13" s="79" t="s">
        <v>81</v>
      </c>
      <c r="Y13" s="81" t="s">
        <v>87</v>
      </c>
      <c r="Z13" s="52" t="s">
        <v>47</v>
      </c>
      <c r="AA13" s="36">
        <v>11</v>
      </c>
      <c r="AB13" s="75" t="s">
        <v>90</v>
      </c>
      <c r="AC13" s="52" t="s">
        <v>91</v>
      </c>
    </row>
    <row r="14" spans="1:29" ht="14" customHeight="1" x14ac:dyDescent="0.15">
      <c r="A14" s="6">
        <v>44959</v>
      </c>
      <c r="B14" s="8">
        <f t="shared" ref="B14:B22" si="3">B13+7</f>
        <v>46139</v>
      </c>
      <c r="C14" s="48" t="s">
        <v>19</v>
      </c>
      <c r="D14" s="49">
        <f t="shared" si="0"/>
        <v>5</v>
      </c>
      <c r="E14" s="24">
        <v>2</v>
      </c>
      <c r="F14" s="21"/>
      <c r="G14" s="21">
        <v>1</v>
      </c>
      <c r="H14" s="21">
        <v>2</v>
      </c>
      <c r="I14" s="21"/>
      <c r="J14" s="82" t="s">
        <v>92</v>
      </c>
      <c r="K14" s="82" t="s">
        <v>93</v>
      </c>
      <c r="L14" s="82" t="s">
        <v>94</v>
      </c>
      <c r="M14" s="82" t="s">
        <v>95</v>
      </c>
      <c r="N14" s="82" t="s">
        <v>96</v>
      </c>
      <c r="O14" s="21">
        <f t="shared" si="1"/>
        <v>4</v>
      </c>
      <c r="P14" s="21"/>
      <c r="Q14" s="21">
        <v>2</v>
      </c>
      <c r="R14" s="21">
        <v>1</v>
      </c>
      <c r="S14" s="21">
        <v>1</v>
      </c>
      <c r="T14" s="23"/>
      <c r="U14" s="81" t="s">
        <v>88</v>
      </c>
      <c r="V14" s="81" t="s">
        <v>89</v>
      </c>
      <c r="W14" s="81" t="s">
        <v>92</v>
      </c>
      <c r="X14" s="82" t="s">
        <v>93</v>
      </c>
      <c r="Y14" s="22" t="s">
        <v>26</v>
      </c>
      <c r="Z14" s="52" t="s">
        <v>97</v>
      </c>
      <c r="AA14" s="36">
        <v>12</v>
      </c>
      <c r="AB14" s="75" t="s">
        <v>98</v>
      </c>
      <c r="AC14" s="52" t="s">
        <v>99</v>
      </c>
    </row>
    <row r="15" spans="1:29" ht="14" customHeight="1" x14ac:dyDescent="0.15">
      <c r="A15" s="6">
        <v>44960</v>
      </c>
      <c r="B15" s="8">
        <f t="shared" si="3"/>
        <v>46146</v>
      </c>
      <c r="C15" s="48" t="s">
        <v>29</v>
      </c>
      <c r="D15" s="49">
        <f t="shared" si="0"/>
        <v>4</v>
      </c>
      <c r="E15" s="25">
        <v>1</v>
      </c>
      <c r="F15" s="80" t="s">
        <v>100</v>
      </c>
      <c r="G15" s="21">
        <v>1</v>
      </c>
      <c r="H15" s="21">
        <v>2</v>
      </c>
      <c r="I15" s="21"/>
      <c r="J15" s="82" t="s">
        <v>101</v>
      </c>
      <c r="K15" s="22" t="s">
        <v>26</v>
      </c>
      <c r="L15" s="82" t="s">
        <v>102</v>
      </c>
      <c r="M15" s="82" t="s">
        <v>103</v>
      </c>
      <c r="N15" s="82" t="s">
        <v>104</v>
      </c>
      <c r="O15" s="21">
        <f t="shared" si="1"/>
        <v>5</v>
      </c>
      <c r="P15" s="80" t="s">
        <v>100</v>
      </c>
      <c r="Q15" s="21">
        <v>2</v>
      </c>
      <c r="R15" s="26">
        <v>1</v>
      </c>
      <c r="S15" s="26">
        <v>2</v>
      </c>
      <c r="T15" s="23"/>
      <c r="U15" s="82" t="s">
        <v>94</v>
      </c>
      <c r="V15" s="82" t="s">
        <v>95</v>
      </c>
      <c r="W15" s="82" t="s">
        <v>96</v>
      </c>
      <c r="X15" s="82" t="s">
        <v>101</v>
      </c>
      <c r="Y15" s="82" t="s">
        <v>102</v>
      </c>
      <c r="Z15" s="52" t="s">
        <v>97</v>
      </c>
      <c r="AA15" s="36">
        <v>13</v>
      </c>
      <c r="AB15" s="75" t="s">
        <v>37</v>
      </c>
      <c r="AC15" s="52" t="s">
        <v>105</v>
      </c>
    </row>
    <row r="16" spans="1:29" ht="14" customHeight="1" x14ac:dyDescent="0.15">
      <c r="A16" s="6">
        <v>44961</v>
      </c>
      <c r="B16" s="8">
        <f t="shared" si="3"/>
        <v>46153</v>
      </c>
      <c r="C16" s="48" t="s">
        <v>19</v>
      </c>
      <c r="D16" s="49">
        <f t="shared" si="0"/>
        <v>5</v>
      </c>
      <c r="E16" s="24">
        <v>2</v>
      </c>
      <c r="F16" s="21"/>
      <c r="G16" s="26">
        <v>1</v>
      </c>
      <c r="H16" s="26">
        <v>2</v>
      </c>
      <c r="I16" s="21"/>
      <c r="J16" s="81" t="s">
        <v>106</v>
      </c>
      <c r="K16" s="82" t="s">
        <v>107</v>
      </c>
      <c r="L16" s="82" t="s">
        <v>108</v>
      </c>
      <c r="M16" s="82" t="s">
        <v>109</v>
      </c>
      <c r="N16" s="82" t="s">
        <v>110</v>
      </c>
      <c r="O16" s="21">
        <f t="shared" si="1"/>
        <v>4</v>
      </c>
      <c r="P16" s="21"/>
      <c r="Q16" s="21">
        <v>2</v>
      </c>
      <c r="R16" s="21">
        <v>1</v>
      </c>
      <c r="S16" s="21">
        <v>1</v>
      </c>
      <c r="T16" s="23"/>
      <c r="U16" s="81" t="s">
        <v>103</v>
      </c>
      <c r="V16" s="82" t="s">
        <v>104</v>
      </c>
      <c r="W16" s="82" t="s">
        <v>106</v>
      </c>
      <c r="X16" s="82" t="s">
        <v>107</v>
      </c>
      <c r="Y16" s="22" t="s">
        <v>26</v>
      </c>
      <c r="Z16" s="52" t="s">
        <v>111</v>
      </c>
      <c r="AA16" s="36">
        <v>14</v>
      </c>
      <c r="AB16" s="75" t="s">
        <v>112</v>
      </c>
      <c r="AC16" s="52" t="s">
        <v>113</v>
      </c>
    </row>
    <row r="17" spans="1:30" ht="14" customHeight="1" x14ac:dyDescent="0.15">
      <c r="A17" s="6">
        <v>44962</v>
      </c>
      <c r="B17" s="8">
        <f t="shared" si="3"/>
        <v>46160</v>
      </c>
      <c r="C17" s="48" t="s">
        <v>29</v>
      </c>
      <c r="D17" s="49">
        <f t="shared" si="0"/>
        <v>4</v>
      </c>
      <c r="E17" s="25">
        <v>1</v>
      </c>
      <c r="F17" s="26"/>
      <c r="G17" s="26">
        <v>1</v>
      </c>
      <c r="H17" s="26">
        <v>2</v>
      </c>
      <c r="I17" s="21"/>
      <c r="J17" s="82" t="s">
        <v>52</v>
      </c>
      <c r="K17" s="22" t="s">
        <v>26</v>
      </c>
      <c r="L17" s="82" t="s">
        <v>52</v>
      </c>
      <c r="M17" s="82"/>
      <c r="N17" s="82" t="s">
        <v>52</v>
      </c>
      <c r="O17" s="21">
        <f t="shared" si="1"/>
        <v>5</v>
      </c>
      <c r="P17" s="26"/>
      <c r="Q17" s="26">
        <v>2</v>
      </c>
      <c r="R17" s="26">
        <v>1</v>
      </c>
      <c r="S17" s="26">
        <v>2</v>
      </c>
      <c r="T17" s="23"/>
      <c r="U17" s="82" t="s">
        <v>108</v>
      </c>
      <c r="V17" s="82" t="s">
        <v>109</v>
      </c>
      <c r="W17" s="82" t="s">
        <v>110</v>
      </c>
      <c r="X17" s="82" t="s">
        <v>52</v>
      </c>
      <c r="Y17" s="82" t="s">
        <v>52</v>
      </c>
      <c r="Z17" s="52" t="s">
        <v>111</v>
      </c>
      <c r="AA17" s="36">
        <v>15</v>
      </c>
      <c r="AB17" s="75" t="s">
        <v>114</v>
      </c>
      <c r="AC17" s="52" t="s">
        <v>115</v>
      </c>
      <c r="AD17" s="36"/>
    </row>
    <row r="18" spans="1:30" ht="14" customHeight="1" x14ac:dyDescent="0.15">
      <c r="A18" s="6">
        <v>44963</v>
      </c>
      <c r="B18" s="8">
        <f t="shared" si="3"/>
        <v>46167</v>
      </c>
      <c r="C18" s="48" t="s">
        <v>19</v>
      </c>
      <c r="D18" s="49">
        <f t="shared" si="0"/>
        <v>5</v>
      </c>
      <c r="E18" s="24">
        <v>2</v>
      </c>
      <c r="F18" s="21"/>
      <c r="G18" s="26">
        <v>1</v>
      </c>
      <c r="H18" s="26">
        <v>2</v>
      </c>
      <c r="I18" s="20" t="s">
        <v>116</v>
      </c>
      <c r="J18" s="73" t="s">
        <v>117</v>
      </c>
      <c r="K18" s="73" t="s">
        <v>118</v>
      </c>
      <c r="L18" s="73" t="s">
        <v>119</v>
      </c>
      <c r="M18" s="73" t="s">
        <v>120</v>
      </c>
      <c r="N18" s="73" t="s">
        <v>121</v>
      </c>
      <c r="O18" s="21">
        <f t="shared" si="1"/>
        <v>4</v>
      </c>
      <c r="P18" s="21"/>
      <c r="Q18" s="21">
        <v>2</v>
      </c>
      <c r="R18" s="21">
        <v>1</v>
      </c>
      <c r="S18" s="21">
        <v>1</v>
      </c>
      <c r="T18" s="32" t="s">
        <v>116</v>
      </c>
      <c r="U18" s="73" t="s">
        <v>117</v>
      </c>
      <c r="V18" s="73" t="s">
        <v>118</v>
      </c>
      <c r="W18" s="73" t="s">
        <v>119</v>
      </c>
      <c r="X18" s="73" t="s">
        <v>120</v>
      </c>
      <c r="Y18" s="22" t="s">
        <v>26</v>
      </c>
      <c r="Z18" s="52" t="s">
        <v>111</v>
      </c>
      <c r="AA18" s="36">
        <v>16</v>
      </c>
      <c r="AB18" s="75" t="s">
        <v>122</v>
      </c>
      <c r="AC18" s="52" t="s">
        <v>123</v>
      </c>
      <c r="AD18" s="36"/>
    </row>
    <row r="19" spans="1:30" ht="14" customHeight="1" x14ac:dyDescent="0.15">
      <c r="A19" s="6">
        <v>44964</v>
      </c>
      <c r="B19" s="8">
        <f t="shared" si="3"/>
        <v>46174</v>
      </c>
      <c r="C19" s="48" t="s">
        <v>29</v>
      </c>
      <c r="D19" s="49">
        <f t="shared" si="0"/>
        <v>4</v>
      </c>
      <c r="E19" s="25">
        <v>1</v>
      </c>
      <c r="F19" s="80" t="s">
        <v>124</v>
      </c>
      <c r="G19" s="26">
        <v>1</v>
      </c>
      <c r="H19" s="26">
        <v>2</v>
      </c>
      <c r="I19" s="21"/>
      <c r="J19" s="73" t="s">
        <v>125</v>
      </c>
      <c r="K19" s="22" t="s">
        <v>26</v>
      </c>
      <c r="L19" s="73" t="s">
        <v>126</v>
      </c>
      <c r="M19" s="73" t="s">
        <v>127</v>
      </c>
      <c r="N19" s="73" t="s">
        <v>128</v>
      </c>
      <c r="O19" s="21">
        <f t="shared" si="1"/>
        <v>5</v>
      </c>
      <c r="P19" s="80" t="s">
        <v>124</v>
      </c>
      <c r="Q19" s="21">
        <v>2</v>
      </c>
      <c r="R19" s="26">
        <v>1</v>
      </c>
      <c r="S19" s="26">
        <v>2</v>
      </c>
      <c r="T19" s="23"/>
      <c r="U19" s="73" t="s">
        <v>121</v>
      </c>
      <c r="V19" s="73" t="s">
        <v>125</v>
      </c>
      <c r="W19" s="73" t="s">
        <v>126</v>
      </c>
      <c r="X19" s="73" t="s">
        <v>127</v>
      </c>
      <c r="Y19" s="73" t="s">
        <v>128</v>
      </c>
      <c r="Z19" s="52" t="s">
        <v>111</v>
      </c>
      <c r="AA19" s="36">
        <v>17</v>
      </c>
      <c r="AB19" s="75" t="s">
        <v>129</v>
      </c>
      <c r="AC19" s="52" t="s">
        <v>130</v>
      </c>
      <c r="AD19" s="36"/>
    </row>
    <row r="20" spans="1:30" ht="14" customHeight="1" x14ac:dyDescent="0.15">
      <c r="A20" s="6">
        <v>44965</v>
      </c>
      <c r="B20" s="8">
        <f t="shared" si="3"/>
        <v>46181</v>
      </c>
      <c r="C20" s="48" t="s">
        <v>19</v>
      </c>
      <c r="D20" s="49">
        <f t="shared" si="0"/>
        <v>3</v>
      </c>
      <c r="E20" s="33" t="s">
        <v>131</v>
      </c>
      <c r="F20" s="21"/>
      <c r="G20" s="26">
        <v>1</v>
      </c>
      <c r="H20" s="26">
        <v>2</v>
      </c>
      <c r="I20" s="21"/>
      <c r="J20" s="20" t="s">
        <v>131</v>
      </c>
      <c r="K20" s="20" t="s">
        <v>131</v>
      </c>
      <c r="L20" s="73" t="s">
        <v>132</v>
      </c>
      <c r="M20" s="73" t="s">
        <v>133</v>
      </c>
      <c r="N20" s="73" t="s">
        <v>134</v>
      </c>
      <c r="O20" s="21">
        <f t="shared" si="1"/>
        <v>4</v>
      </c>
      <c r="P20" s="20" t="s">
        <v>131</v>
      </c>
      <c r="Q20" s="21">
        <v>2</v>
      </c>
      <c r="R20" s="21">
        <v>1</v>
      </c>
      <c r="S20" s="21">
        <v>1</v>
      </c>
      <c r="T20" s="23"/>
      <c r="U20" s="20" t="s">
        <v>131</v>
      </c>
      <c r="V20" s="20" t="s">
        <v>131</v>
      </c>
      <c r="W20" s="73" t="s">
        <v>132</v>
      </c>
      <c r="X20" s="73" t="s">
        <v>133</v>
      </c>
      <c r="Y20" s="22" t="s">
        <v>26</v>
      </c>
      <c r="Z20" s="52" t="s">
        <v>111</v>
      </c>
      <c r="AA20" s="36">
        <v>18</v>
      </c>
      <c r="AB20" s="75" t="s">
        <v>40</v>
      </c>
      <c r="AC20" s="52" t="s">
        <v>135</v>
      </c>
      <c r="AD20" s="36"/>
    </row>
    <row r="21" spans="1:30" ht="14" customHeight="1" x14ac:dyDescent="0.15">
      <c r="A21" s="6">
        <v>44966</v>
      </c>
      <c r="B21" s="8">
        <f t="shared" si="3"/>
        <v>46188</v>
      </c>
      <c r="C21" s="48" t="s">
        <v>29</v>
      </c>
      <c r="D21" s="49">
        <f t="shared" si="0"/>
        <v>5</v>
      </c>
      <c r="E21" s="24">
        <v>2</v>
      </c>
      <c r="F21" s="20" t="s">
        <v>136</v>
      </c>
      <c r="G21" s="26">
        <v>1</v>
      </c>
      <c r="H21" s="26">
        <v>2</v>
      </c>
      <c r="I21" s="21" t="s">
        <v>137</v>
      </c>
      <c r="J21" s="73" t="s">
        <v>138</v>
      </c>
      <c r="K21" s="22" t="s">
        <v>26</v>
      </c>
      <c r="L21" s="73" t="s">
        <v>139</v>
      </c>
      <c r="M21" s="73" t="s">
        <v>140</v>
      </c>
      <c r="N21" s="73" t="s">
        <v>141</v>
      </c>
      <c r="O21" s="21">
        <f t="shared" si="1"/>
        <v>3</v>
      </c>
      <c r="P21" s="21"/>
      <c r="Q21" s="20" t="s">
        <v>136</v>
      </c>
      <c r="R21" s="26">
        <v>1</v>
      </c>
      <c r="S21" s="26">
        <v>2</v>
      </c>
      <c r="T21" s="23" t="s">
        <v>137</v>
      </c>
      <c r="U21" s="73" t="s">
        <v>134</v>
      </c>
      <c r="V21" s="73" t="s">
        <v>138</v>
      </c>
      <c r="W21" s="20" t="s">
        <v>136</v>
      </c>
      <c r="X21" s="73" t="s">
        <v>139</v>
      </c>
      <c r="Y21" s="73" t="s">
        <v>140</v>
      </c>
      <c r="Z21" s="52" t="s">
        <v>111</v>
      </c>
      <c r="AA21" s="36">
        <v>19</v>
      </c>
      <c r="AB21" s="75" t="s">
        <v>43</v>
      </c>
      <c r="AC21" s="52" t="s">
        <v>142</v>
      </c>
      <c r="AD21" s="36"/>
    </row>
    <row r="22" spans="1:30" ht="14" customHeight="1" x14ac:dyDescent="0.15">
      <c r="A22" s="6">
        <v>44967</v>
      </c>
      <c r="B22" s="8">
        <f t="shared" si="3"/>
        <v>46195</v>
      </c>
      <c r="C22" s="48" t="s">
        <v>19</v>
      </c>
      <c r="D22" s="49">
        <f t="shared" si="0"/>
        <v>1</v>
      </c>
      <c r="E22" s="25">
        <v>1</v>
      </c>
      <c r="F22" s="22" t="s">
        <v>143</v>
      </c>
      <c r="G22" s="22" t="s">
        <v>143</v>
      </c>
      <c r="H22" s="22" t="s">
        <v>143</v>
      </c>
      <c r="I22" s="22" t="s">
        <v>143</v>
      </c>
      <c r="J22" s="20" t="s">
        <v>144</v>
      </c>
      <c r="K22" s="22" t="s">
        <v>143</v>
      </c>
      <c r="L22" s="22" t="s">
        <v>143</v>
      </c>
      <c r="M22" s="22" t="s">
        <v>143</v>
      </c>
      <c r="N22" s="22" t="s">
        <v>143</v>
      </c>
      <c r="O22" s="21">
        <f t="shared" si="1"/>
        <v>0</v>
      </c>
      <c r="P22" s="26"/>
      <c r="Q22" s="22" t="s">
        <v>143</v>
      </c>
      <c r="R22" s="22" t="s">
        <v>143</v>
      </c>
      <c r="S22" s="22" t="s">
        <v>143</v>
      </c>
      <c r="T22" s="28" t="s">
        <v>143</v>
      </c>
      <c r="U22" s="129" t="s">
        <v>141</v>
      </c>
      <c r="V22" s="22" t="s">
        <v>143</v>
      </c>
      <c r="W22" s="22" t="s">
        <v>143</v>
      </c>
      <c r="X22" s="22" t="s">
        <v>143</v>
      </c>
      <c r="Y22" s="22" t="s">
        <v>143</v>
      </c>
      <c r="Z22" s="52" t="s">
        <v>145</v>
      </c>
      <c r="AA22" s="36">
        <v>20</v>
      </c>
      <c r="AB22" s="75" t="s">
        <v>146</v>
      </c>
      <c r="AC22" s="52" t="s">
        <v>147</v>
      </c>
      <c r="AD22" s="36"/>
    </row>
    <row r="23" spans="1:30" ht="14" customHeight="1" x14ac:dyDescent="0.15">
      <c r="A23" s="11"/>
      <c r="B23" s="12"/>
      <c r="C23" s="30"/>
      <c r="D23" s="59"/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21">
        <f t="shared" si="1"/>
        <v>0</v>
      </c>
      <c r="P23" s="30"/>
      <c r="Q23" s="30"/>
      <c r="R23" s="30"/>
      <c r="S23" s="30"/>
      <c r="T23" s="31"/>
      <c r="U23" s="30"/>
      <c r="V23" s="30"/>
      <c r="W23" s="30"/>
      <c r="X23" s="30"/>
      <c r="Y23" s="30"/>
      <c r="Z23" s="52" t="s">
        <v>145</v>
      </c>
      <c r="AA23" s="36">
        <v>21</v>
      </c>
      <c r="AB23" s="75" t="s">
        <v>148</v>
      </c>
      <c r="AC23" s="52" t="s">
        <v>149</v>
      </c>
      <c r="AD23" s="36"/>
    </row>
    <row r="24" spans="1:30" ht="14" customHeight="1" x14ac:dyDescent="0.15">
      <c r="A24" s="9">
        <v>44986</v>
      </c>
      <c r="B24" s="3">
        <f>B22+28</f>
        <v>46223</v>
      </c>
      <c r="C24" s="48" t="s">
        <v>29</v>
      </c>
      <c r="D24" s="49">
        <f t="shared" ref="D24:D30" si="4">SUM(E24:I24)</f>
        <v>3</v>
      </c>
      <c r="E24" s="19" t="s">
        <v>86</v>
      </c>
      <c r="F24" s="21"/>
      <c r="G24" s="26">
        <v>1</v>
      </c>
      <c r="H24" s="26">
        <v>2</v>
      </c>
      <c r="I24" s="21"/>
      <c r="J24" s="22" t="s">
        <v>86</v>
      </c>
      <c r="K24" s="22" t="s">
        <v>26</v>
      </c>
      <c r="L24" s="73" t="s">
        <v>150</v>
      </c>
      <c r="M24" s="73" t="s">
        <v>151</v>
      </c>
      <c r="N24" s="73" t="s">
        <v>152</v>
      </c>
      <c r="O24" s="21">
        <f t="shared" si="1"/>
        <v>5</v>
      </c>
      <c r="P24" s="22" t="s">
        <v>86</v>
      </c>
      <c r="Q24" s="21">
        <v>2</v>
      </c>
      <c r="R24" s="26">
        <v>1</v>
      </c>
      <c r="S24" s="26">
        <v>2</v>
      </c>
      <c r="T24" s="23"/>
      <c r="U24" s="127" t="s">
        <v>153</v>
      </c>
      <c r="V24" s="73" t="s">
        <v>154</v>
      </c>
      <c r="W24" s="73" t="s">
        <v>150</v>
      </c>
      <c r="X24" s="73" t="s">
        <v>151</v>
      </c>
      <c r="Y24" s="73" t="s">
        <v>152</v>
      </c>
      <c r="Z24" s="52" t="s">
        <v>145</v>
      </c>
      <c r="AA24" s="36">
        <v>22</v>
      </c>
      <c r="AB24" s="75" t="s">
        <v>45</v>
      </c>
      <c r="AC24" s="52" t="s">
        <v>155</v>
      </c>
      <c r="AD24" s="36"/>
    </row>
    <row r="25" spans="1:30" ht="14" customHeight="1" x14ac:dyDescent="0.15">
      <c r="A25" s="9">
        <v>44987</v>
      </c>
      <c r="B25" s="3">
        <f t="shared" ref="B25:B32" si="5">B24+7</f>
        <v>46230</v>
      </c>
      <c r="C25" s="48" t="s">
        <v>19</v>
      </c>
      <c r="D25" s="49">
        <f t="shared" si="4"/>
        <v>5</v>
      </c>
      <c r="E25" s="24">
        <v>2</v>
      </c>
      <c r="F25" s="21"/>
      <c r="G25" s="26">
        <v>1</v>
      </c>
      <c r="H25" s="26">
        <v>2</v>
      </c>
      <c r="I25" s="34"/>
      <c r="J25" s="73" t="s">
        <v>156</v>
      </c>
      <c r="K25" s="73" t="s">
        <v>157</v>
      </c>
      <c r="L25" s="83" t="s">
        <v>158</v>
      </c>
      <c r="M25" s="83" t="s">
        <v>159</v>
      </c>
      <c r="N25" s="83" t="s">
        <v>160</v>
      </c>
      <c r="O25" s="21">
        <f t="shared" si="1"/>
        <v>4</v>
      </c>
      <c r="P25" s="21"/>
      <c r="Q25" s="21">
        <v>2</v>
      </c>
      <c r="R25" s="26">
        <v>1</v>
      </c>
      <c r="S25" s="26">
        <v>1</v>
      </c>
      <c r="T25" s="35"/>
      <c r="U25" s="73" t="s">
        <v>156</v>
      </c>
      <c r="V25" s="73" t="s">
        <v>157</v>
      </c>
      <c r="W25" s="73" t="s">
        <v>158</v>
      </c>
      <c r="X25" s="83" t="s">
        <v>159</v>
      </c>
      <c r="Y25" s="22" t="s">
        <v>26</v>
      </c>
      <c r="Z25" s="52" t="s">
        <v>145</v>
      </c>
      <c r="AA25" s="36">
        <v>23</v>
      </c>
      <c r="AB25" s="75" t="s">
        <v>161</v>
      </c>
      <c r="AC25" s="52" t="s">
        <v>162</v>
      </c>
      <c r="AD25" s="36"/>
    </row>
    <row r="26" spans="1:30" ht="14" customHeight="1" x14ac:dyDescent="0.15">
      <c r="A26" s="9">
        <v>44988</v>
      </c>
      <c r="B26" s="3">
        <f t="shared" si="5"/>
        <v>46237</v>
      </c>
      <c r="C26" s="48" t="s">
        <v>29</v>
      </c>
      <c r="D26" s="49">
        <f t="shared" si="4"/>
        <v>4</v>
      </c>
      <c r="E26" s="25">
        <v>1</v>
      </c>
      <c r="F26" s="21"/>
      <c r="G26" s="26">
        <v>1</v>
      </c>
      <c r="H26" s="26">
        <v>2</v>
      </c>
      <c r="I26" s="21"/>
      <c r="J26" s="73" t="s">
        <v>163</v>
      </c>
      <c r="K26" s="22" t="s">
        <v>26</v>
      </c>
      <c r="L26" s="73" t="s">
        <v>164</v>
      </c>
      <c r="M26" s="73" t="s">
        <v>165</v>
      </c>
      <c r="N26" s="73" t="s">
        <v>166</v>
      </c>
      <c r="O26" s="21">
        <f t="shared" si="1"/>
        <v>5</v>
      </c>
      <c r="P26" s="26"/>
      <c r="Q26" s="21">
        <v>2</v>
      </c>
      <c r="R26" s="26">
        <v>1</v>
      </c>
      <c r="S26" s="26">
        <v>2</v>
      </c>
      <c r="T26" s="23"/>
      <c r="U26" s="73" t="s">
        <v>160</v>
      </c>
      <c r="V26" s="73" t="s">
        <v>163</v>
      </c>
      <c r="W26" s="73" t="s">
        <v>164</v>
      </c>
      <c r="X26" s="73" t="s">
        <v>165</v>
      </c>
      <c r="Y26" s="73" t="s">
        <v>166</v>
      </c>
      <c r="Z26" s="52" t="s">
        <v>145</v>
      </c>
      <c r="AA26" s="36">
        <v>24</v>
      </c>
      <c r="AB26" s="75" t="s">
        <v>167</v>
      </c>
      <c r="AC26" s="52" t="s">
        <v>168</v>
      </c>
      <c r="AD26" s="36"/>
    </row>
    <row r="27" spans="1:30" ht="14" customHeight="1" x14ac:dyDescent="0.15">
      <c r="A27" s="9">
        <v>44989</v>
      </c>
      <c r="B27" s="3">
        <f t="shared" si="5"/>
        <v>46244</v>
      </c>
      <c r="C27" s="48" t="s">
        <v>19</v>
      </c>
      <c r="D27" s="49">
        <f t="shared" si="4"/>
        <v>5</v>
      </c>
      <c r="E27" s="24">
        <v>2</v>
      </c>
      <c r="F27" s="20" t="s">
        <v>169</v>
      </c>
      <c r="G27" s="26">
        <v>1</v>
      </c>
      <c r="H27" s="26">
        <v>2</v>
      </c>
      <c r="I27" s="21"/>
      <c r="J27" s="73" t="s">
        <v>170</v>
      </c>
      <c r="K27" s="73" t="s">
        <v>171</v>
      </c>
      <c r="L27" s="73" t="s">
        <v>172</v>
      </c>
      <c r="M27" s="73" t="s">
        <v>52</v>
      </c>
      <c r="N27" s="73" t="s">
        <v>52</v>
      </c>
      <c r="O27" s="21">
        <f t="shared" si="1"/>
        <v>2</v>
      </c>
      <c r="P27" s="21"/>
      <c r="Q27" s="20" t="s">
        <v>169</v>
      </c>
      <c r="R27" s="26">
        <v>1</v>
      </c>
      <c r="S27" s="26">
        <v>1</v>
      </c>
      <c r="T27" s="23"/>
      <c r="U27" s="73" t="s">
        <v>170</v>
      </c>
      <c r="V27" s="73" t="s">
        <v>171</v>
      </c>
      <c r="W27" s="20" t="s">
        <v>172</v>
      </c>
      <c r="X27" s="73" t="s">
        <v>52</v>
      </c>
      <c r="Y27" s="22" t="s">
        <v>26</v>
      </c>
      <c r="Z27" s="52" t="s">
        <v>173</v>
      </c>
      <c r="AA27" s="36">
        <v>25</v>
      </c>
      <c r="AB27" s="75" t="s">
        <v>174</v>
      </c>
      <c r="AC27" s="52" t="s">
        <v>175</v>
      </c>
      <c r="AD27" s="36" t="s">
        <v>176</v>
      </c>
    </row>
    <row r="28" spans="1:30" ht="14" customHeight="1" x14ac:dyDescent="0.15">
      <c r="A28" s="9">
        <v>44990</v>
      </c>
      <c r="B28" s="3">
        <f t="shared" si="5"/>
        <v>46251</v>
      </c>
      <c r="C28" s="48" t="s">
        <v>29</v>
      </c>
      <c r="D28" s="49">
        <f t="shared" si="4"/>
        <v>4</v>
      </c>
      <c r="E28" s="25">
        <v>1</v>
      </c>
      <c r="F28" s="80" t="s">
        <v>177</v>
      </c>
      <c r="G28" s="26">
        <v>1</v>
      </c>
      <c r="H28" s="26">
        <v>2</v>
      </c>
      <c r="I28" s="21"/>
      <c r="J28" s="73" t="s">
        <v>52</v>
      </c>
      <c r="K28" s="22" t="s">
        <v>26</v>
      </c>
      <c r="L28" s="36" t="s">
        <v>178</v>
      </c>
      <c r="M28" s="36" t="s">
        <v>178</v>
      </c>
      <c r="N28" s="36" t="s">
        <v>178</v>
      </c>
      <c r="O28" s="21">
        <f t="shared" si="1"/>
        <v>5</v>
      </c>
      <c r="P28" s="80" t="s">
        <v>177</v>
      </c>
      <c r="Q28" s="21">
        <v>2</v>
      </c>
      <c r="R28" s="26">
        <v>1</v>
      </c>
      <c r="S28" s="26">
        <v>2</v>
      </c>
      <c r="T28" s="23"/>
      <c r="U28" s="73" t="s">
        <v>52</v>
      </c>
      <c r="V28" s="73" t="s">
        <v>52</v>
      </c>
      <c r="W28" s="36" t="s">
        <v>178</v>
      </c>
      <c r="X28" s="36" t="s">
        <v>178</v>
      </c>
      <c r="Y28" s="36" t="s">
        <v>178</v>
      </c>
      <c r="Z28" s="52" t="s">
        <v>173</v>
      </c>
      <c r="AA28" s="36">
        <v>26</v>
      </c>
      <c r="AB28" s="75" t="s">
        <v>179</v>
      </c>
      <c r="AC28" s="52" t="s">
        <v>180</v>
      </c>
      <c r="AD28" s="36"/>
    </row>
    <row r="29" spans="1:30" ht="14" customHeight="1" x14ac:dyDescent="0.15">
      <c r="A29" s="9">
        <v>44991</v>
      </c>
      <c r="B29" s="3">
        <f t="shared" si="5"/>
        <v>46258</v>
      </c>
      <c r="C29" s="48" t="s">
        <v>19</v>
      </c>
      <c r="D29" s="49">
        <f t="shared" si="4"/>
        <v>5</v>
      </c>
      <c r="E29" s="24">
        <v>2</v>
      </c>
      <c r="F29" s="21"/>
      <c r="G29" s="26">
        <v>1</v>
      </c>
      <c r="H29" s="26">
        <v>2</v>
      </c>
      <c r="I29" s="34"/>
      <c r="J29" s="80" t="s">
        <v>181</v>
      </c>
      <c r="K29" s="80" t="s">
        <v>182</v>
      </c>
      <c r="L29" s="80" t="s">
        <v>182</v>
      </c>
      <c r="M29" s="80" t="s">
        <v>182</v>
      </c>
      <c r="N29" s="80" t="s">
        <v>182</v>
      </c>
      <c r="O29" s="21">
        <f t="shared" si="1"/>
        <v>4</v>
      </c>
      <c r="P29" s="21"/>
      <c r="Q29" s="21">
        <v>2</v>
      </c>
      <c r="R29" s="26">
        <v>1</v>
      </c>
      <c r="S29" s="26">
        <v>1</v>
      </c>
      <c r="T29" s="35"/>
      <c r="U29" s="80" t="s">
        <v>181</v>
      </c>
      <c r="V29" s="80" t="s">
        <v>182</v>
      </c>
      <c r="W29" s="80" t="s">
        <v>182</v>
      </c>
      <c r="X29" s="80" t="s">
        <v>182</v>
      </c>
      <c r="Y29" s="22" t="s">
        <v>26</v>
      </c>
      <c r="Z29" s="52" t="s">
        <v>173</v>
      </c>
      <c r="AA29" s="36">
        <v>27</v>
      </c>
      <c r="AB29" s="75" t="s">
        <v>183</v>
      </c>
      <c r="AC29" s="52" t="s">
        <v>184</v>
      </c>
      <c r="AD29" s="36"/>
    </row>
    <row r="30" spans="1:30" ht="14" customHeight="1" x14ac:dyDescent="0.15">
      <c r="A30" s="9">
        <v>44992</v>
      </c>
      <c r="B30" s="3">
        <f t="shared" si="5"/>
        <v>46265</v>
      </c>
      <c r="C30" s="48" t="s">
        <v>29</v>
      </c>
      <c r="D30" s="49">
        <f t="shared" si="4"/>
        <v>4</v>
      </c>
      <c r="E30" s="25">
        <v>1</v>
      </c>
      <c r="F30" s="21"/>
      <c r="G30" s="26">
        <v>1</v>
      </c>
      <c r="H30" s="26">
        <v>2</v>
      </c>
      <c r="I30" s="21"/>
      <c r="J30" s="80" t="s">
        <v>182</v>
      </c>
      <c r="K30" s="44" t="s">
        <v>26</v>
      </c>
      <c r="L30" s="80" t="s">
        <v>182</v>
      </c>
      <c r="M30" s="80" t="s">
        <v>182</v>
      </c>
      <c r="N30" s="80" t="s">
        <v>182</v>
      </c>
      <c r="O30" s="21">
        <f t="shared" si="1"/>
        <v>5</v>
      </c>
      <c r="P30" s="26"/>
      <c r="Q30" s="21">
        <v>2</v>
      </c>
      <c r="R30" s="26">
        <v>1</v>
      </c>
      <c r="S30" s="26">
        <v>2</v>
      </c>
      <c r="T30" s="23"/>
      <c r="U30" s="80" t="s">
        <v>182</v>
      </c>
      <c r="V30" s="80" t="s">
        <v>182</v>
      </c>
      <c r="W30" s="80" t="s">
        <v>182</v>
      </c>
      <c r="X30" s="80" t="s">
        <v>182</v>
      </c>
      <c r="Y30" s="80" t="s">
        <v>182</v>
      </c>
      <c r="Z30" s="52" t="s">
        <v>173</v>
      </c>
      <c r="AA30" s="36">
        <v>28</v>
      </c>
      <c r="AB30" s="75" t="s">
        <v>185</v>
      </c>
      <c r="AC30" s="52" t="s">
        <v>186</v>
      </c>
      <c r="AD30" s="36"/>
    </row>
    <row r="31" spans="1:30" ht="14" customHeight="1" x14ac:dyDescent="0.15">
      <c r="A31" s="9">
        <v>44993</v>
      </c>
      <c r="B31" s="3">
        <f t="shared" si="5"/>
        <v>46272</v>
      </c>
      <c r="C31" s="48" t="s">
        <v>19</v>
      </c>
      <c r="D31" s="49"/>
      <c r="E31" s="24">
        <v>2</v>
      </c>
      <c r="F31" s="21"/>
      <c r="G31" s="26">
        <v>1</v>
      </c>
      <c r="H31" s="26">
        <v>2</v>
      </c>
      <c r="I31" s="34"/>
      <c r="J31" s="52" t="s">
        <v>187</v>
      </c>
      <c r="K31" s="52" t="s">
        <v>187</v>
      </c>
      <c r="L31" s="52" t="s">
        <v>187</v>
      </c>
      <c r="M31" s="52" t="s">
        <v>187</v>
      </c>
      <c r="N31" s="52" t="s">
        <v>187</v>
      </c>
      <c r="O31" s="21"/>
      <c r="P31" s="21"/>
      <c r="Q31" s="21">
        <v>2</v>
      </c>
      <c r="R31" s="26">
        <v>1</v>
      </c>
      <c r="S31" s="26">
        <v>1</v>
      </c>
      <c r="T31" s="35"/>
      <c r="U31" s="52" t="s">
        <v>187</v>
      </c>
      <c r="V31" s="52" t="s">
        <v>187</v>
      </c>
      <c r="W31" s="52" t="s">
        <v>187</v>
      </c>
      <c r="X31" s="52" t="s">
        <v>187</v>
      </c>
      <c r="Y31" s="22" t="s">
        <v>26</v>
      </c>
      <c r="Z31" s="52" t="s">
        <v>173</v>
      </c>
      <c r="AA31" s="36">
        <v>29</v>
      </c>
      <c r="AB31" s="75" t="s">
        <v>188</v>
      </c>
      <c r="AC31" s="52" t="s">
        <v>189</v>
      </c>
      <c r="AD31" s="36"/>
    </row>
    <row r="32" spans="1:30" ht="14" customHeight="1" x14ac:dyDescent="0.15">
      <c r="A32" s="9">
        <v>44994</v>
      </c>
      <c r="B32" s="3">
        <f t="shared" si="5"/>
        <v>46279</v>
      </c>
      <c r="C32" s="48" t="s">
        <v>29</v>
      </c>
      <c r="D32" s="49"/>
      <c r="E32" s="25">
        <v>1</v>
      </c>
      <c r="F32" s="21"/>
      <c r="G32" s="26">
        <v>1</v>
      </c>
      <c r="H32" s="26">
        <v>2</v>
      </c>
      <c r="I32" s="34"/>
      <c r="J32" s="52" t="s">
        <v>187</v>
      </c>
      <c r="K32" s="44" t="s">
        <v>26</v>
      </c>
      <c r="L32" s="52" t="s">
        <v>187</v>
      </c>
      <c r="M32" s="52" t="s">
        <v>187</v>
      </c>
      <c r="N32" s="52" t="s">
        <v>187</v>
      </c>
      <c r="O32" s="21"/>
      <c r="P32" s="26"/>
      <c r="Q32" s="21">
        <v>2</v>
      </c>
      <c r="R32" s="26">
        <v>1</v>
      </c>
      <c r="S32" s="26">
        <v>2</v>
      </c>
      <c r="T32" s="35"/>
      <c r="U32" s="52" t="s">
        <v>187</v>
      </c>
      <c r="V32" s="52" t="s">
        <v>187</v>
      </c>
      <c r="W32" s="52" t="s">
        <v>187</v>
      </c>
      <c r="X32" s="52" t="s">
        <v>187</v>
      </c>
      <c r="Y32" s="52" t="s">
        <v>187</v>
      </c>
      <c r="Z32" s="66" t="s">
        <v>190</v>
      </c>
      <c r="AA32" s="36">
        <v>30</v>
      </c>
      <c r="AB32" s="74" t="s">
        <v>191</v>
      </c>
      <c r="AC32" s="66" t="s">
        <v>192</v>
      </c>
      <c r="AD32" s="36"/>
    </row>
    <row r="33" spans="1:29" ht="14" customHeight="1" x14ac:dyDescent="0.15">
      <c r="A33" s="11"/>
      <c r="B33" s="12"/>
      <c r="C33" s="30"/>
      <c r="D33" s="49">
        <f>SUM(E33:I33)</f>
        <v>0</v>
      </c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21">
        <f>SUM(P33:T33)</f>
        <v>0</v>
      </c>
      <c r="P33" s="30"/>
      <c r="Q33" s="30"/>
      <c r="R33" s="30"/>
      <c r="S33" s="30"/>
      <c r="T33" s="31"/>
      <c r="U33" s="30"/>
      <c r="V33" s="30"/>
      <c r="W33" s="30"/>
      <c r="X33" s="30"/>
      <c r="Y33" s="30"/>
      <c r="Z33" s="66" t="s">
        <v>190</v>
      </c>
      <c r="AA33" s="36">
        <v>31</v>
      </c>
      <c r="AB33" s="74" t="s">
        <v>193</v>
      </c>
      <c r="AC33" s="66" t="s">
        <v>194</v>
      </c>
    </row>
    <row r="34" spans="1:29" ht="14" customHeight="1" x14ac:dyDescent="0.15">
      <c r="A34" s="10">
        <v>45017</v>
      </c>
      <c r="B34" s="8">
        <f>B32+21</f>
        <v>46300</v>
      </c>
      <c r="C34" s="48" t="s">
        <v>19</v>
      </c>
      <c r="D34" s="49"/>
      <c r="E34" s="24">
        <v>2</v>
      </c>
      <c r="F34" s="21"/>
      <c r="G34" s="26">
        <v>1</v>
      </c>
      <c r="H34" s="26">
        <v>2</v>
      </c>
      <c r="I34" s="21"/>
      <c r="J34" s="52" t="s">
        <v>187</v>
      </c>
      <c r="K34" s="52" t="s">
        <v>187</v>
      </c>
      <c r="L34" s="52" t="s">
        <v>187</v>
      </c>
      <c r="M34" s="52" t="s">
        <v>187</v>
      </c>
      <c r="N34" s="52" t="s">
        <v>187</v>
      </c>
      <c r="O34" s="21"/>
      <c r="P34" s="21"/>
      <c r="Q34" s="21">
        <v>2</v>
      </c>
      <c r="R34" s="26">
        <v>1</v>
      </c>
      <c r="S34" s="26">
        <v>1</v>
      </c>
      <c r="T34" s="23"/>
      <c r="U34" s="52" t="s">
        <v>187</v>
      </c>
      <c r="V34" s="52" t="s">
        <v>187</v>
      </c>
      <c r="W34" s="52" t="s">
        <v>187</v>
      </c>
      <c r="X34" s="52" t="s">
        <v>187</v>
      </c>
      <c r="Y34" s="22" t="s">
        <v>26</v>
      </c>
      <c r="Z34" s="66" t="s">
        <v>190</v>
      </c>
      <c r="AA34" s="36">
        <v>32</v>
      </c>
      <c r="AB34" s="74" t="s">
        <v>57</v>
      </c>
      <c r="AC34" s="66" t="s">
        <v>195</v>
      </c>
    </row>
    <row r="35" spans="1:29" ht="14" customHeight="1" x14ac:dyDescent="0.15">
      <c r="A35" s="10">
        <v>45018</v>
      </c>
      <c r="B35" s="8">
        <f t="shared" ref="B35:B43" si="6">B34+7</f>
        <v>46307</v>
      </c>
      <c r="C35" s="48" t="s">
        <v>29</v>
      </c>
      <c r="D35" s="49"/>
      <c r="E35" s="25">
        <v>1</v>
      </c>
      <c r="F35" s="21"/>
      <c r="G35" s="26">
        <v>1</v>
      </c>
      <c r="H35" s="26">
        <v>2</v>
      </c>
      <c r="I35" s="34"/>
      <c r="J35" s="52" t="s">
        <v>187</v>
      </c>
      <c r="K35" s="44" t="s">
        <v>26</v>
      </c>
      <c r="L35" s="52" t="s">
        <v>187</v>
      </c>
      <c r="M35" s="52" t="s">
        <v>187</v>
      </c>
      <c r="N35" s="52" t="s">
        <v>187</v>
      </c>
      <c r="O35" s="21"/>
      <c r="P35" s="26"/>
      <c r="Q35" s="21">
        <v>2</v>
      </c>
      <c r="R35" s="26">
        <v>1</v>
      </c>
      <c r="S35" s="26">
        <v>2</v>
      </c>
      <c r="T35" s="35"/>
      <c r="U35" s="52" t="s">
        <v>187</v>
      </c>
      <c r="V35" s="52" t="s">
        <v>187</v>
      </c>
      <c r="W35" s="52" t="s">
        <v>187</v>
      </c>
      <c r="X35" s="52" t="s">
        <v>187</v>
      </c>
      <c r="Y35" s="52" t="s">
        <v>187</v>
      </c>
      <c r="Z35" s="66" t="s">
        <v>196</v>
      </c>
      <c r="AA35" s="36">
        <v>33</v>
      </c>
      <c r="AB35" s="74" t="s">
        <v>197</v>
      </c>
      <c r="AC35" s="66" t="s">
        <v>198</v>
      </c>
    </row>
    <row r="36" spans="1:29" ht="14" customHeight="1" x14ac:dyDescent="0.15">
      <c r="A36" s="10">
        <v>45019</v>
      </c>
      <c r="B36" s="8">
        <f t="shared" si="6"/>
        <v>46314</v>
      </c>
      <c r="C36" s="48" t="s">
        <v>19</v>
      </c>
      <c r="D36" s="49">
        <f t="shared" ref="D36:D43" si="7">SUM(E36:I36)</f>
        <v>0</v>
      </c>
      <c r="E36" s="33" t="s">
        <v>199</v>
      </c>
      <c r="F36" s="36"/>
      <c r="G36" s="34"/>
      <c r="H36" s="34"/>
      <c r="I36" s="34"/>
      <c r="J36" s="20" t="s">
        <v>199</v>
      </c>
      <c r="K36" s="36"/>
      <c r="L36" s="36"/>
      <c r="M36" s="36"/>
      <c r="N36" s="36"/>
      <c r="O36" s="21">
        <f t="shared" ref="O36:O43" si="8">SUM(P36:T36)</f>
        <v>0</v>
      </c>
      <c r="P36" s="20" t="s">
        <v>199</v>
      </c>
      <c r="Q36" s="36"/>
      <c r="R36" s="34"/>
      <c r="S36" s="34"/>
      <c r="T36" s="35"/>
      <c r="U36" s="20" t="s">
        <v>199</v>
      </c>
      <c r="V36" s="36"/>
      <c r="W36" s="36"/>
      <c r="X36" s="36"/>
      <c r="Y36" s="22" t="s">
        <v>26</v>
      </c>
      <c r="Z36" s="66" t="s">
        <v>196</v>
      </c>
      <c r="AA36" s="36">
        <v>34</v>
      </c>
      <c r="AB36" s="74" t="s">
        <v>200</v>
      </c>
      <c r="AC36" s="66" t="s">
        <v>201</v>
      </c>
    </row>
    <row r="37" spans="1:29" ht="14" customHeight="1" x14ac:dyDescent="0.15">
      <c r="A37" s="10">
        <v>45020</v>
      </c>
      <c r="B37" s="8">
        <f t="shared" si="6"/>
        <v>46321</v>
      </c>
      <c r="C37" s="48" t="s">
        <v>29</v>
      </c>
      <c r="D37" s="49">
        <f t="shared" si="7"/>
        <v>0</v>
      </c>
      <c r="E37" s="37"/>
      <c r="F37" s="34"/>
      <c r="G37" s="34"/>
      <c r="H37" s="34"/>
      <c r="I37" s="34"/>
      <c r="J37" s="36"/>
      <c r="K37" s="44" t="s">
        <v>26</v>
      </c>
      <c r="L37" s="36"/>
      <c r="M37" s="36"/>
      <c r="N37" s="36"/>
      <c r="O37" s="21">
        <f t="shared" si="8"/>
        <v>0</v>
      </c>
      <c r="P37" s="34"/>
      <c r="Q37" s="34"/>
      <c r="R37" s="34"/>
      <c r="S37" s="34"/>
      <c r="T37" s="35"/>
      <c r="U37" s="36"/>
      <c r="V37" s="36"/>
      <c r="W37" s="36"/>
      <c r="X37" s="36"/>
      <c r="Y37" s="36"/>
      <c r="Z37" s="66" t="s">
        <v>202</v>
      </c>
      <c r="AA37" s="36">
        <v>35</v>
      </c>
      <c r="AB37" s="74" t="s">
        <v>203</v>
      </c>
      <c r="AC37" s="66" t="s">
        <v>204</v>
      </c>
    </row>
    <row r="38" spans="1:29" ht="14" customHeight="1" x14ac:dyDescent="0.15">
      <c r="A38" s="10">
        <v>45021</v>
      </c>
      <c r="B38" s="8">
        <f t="shared" si="6"/>
        <v>46328</v>
      </c>
      <c r="C38" s="48" t="s">
        <v>19</v>
      </c>
      <c r="D38" s="49">
        <f t="shared" si="7"/>
        <v>0</v>
      </c>
      <c r="E38" s="33" t="s">
        <v>205</v>
      </c>
      <c r="F38" s="20" t="s">
        <v>205</v>
      </c>
      <c r="G38" s="21"/>
      <c r="H38" s="21"/>
      <c r="I38" s="21"/>
      <c r="J38" s="20" t="s">
        <v>205</v>
      </c>
      <c r="K38" s="20" t="s">
        <v>205</v>
      </c>
      <c r="L38" s="36"/>
      <c r="M38" s="36"/>
      <c r="N38" s="36"/>
      <c r="O38" s="21">
        <f t="shared" si="8"/>
        <v>0</v>
      </c>
      <c r="P38" s="20" t="s">
        <v>205</v>
      </c>
      <c r="Q38" s="20" t="s">
        <v>205</v>
      </c>
      <c r="R38" s="21"/>
      <c r="S38" s="21"/>
      <c r="T38" s="23"/>
      <c r="U38" s="20" t="s">
        <v>205</v>
      </c>
      <c r="V38" s="20" t="s">
        <v>205</v>
      </c>
      <c r="W38" s="20" t="s">
        <v>205</v>
      </c>
      <c r="X38" s="36"/>
      <c r="Y38" s="36"/>
      <c r="Z38" s="66" t="s">
        <v>202</v>
      </c>
      <c r="AA38" s="36">
        <v>36</v>
      </c>
      <c r="AB38" s="74" t="s">
        <v>206</v>
      </c>
      <c r="AC38" s="66" t="s">
        <v>207</v>
      </c>
    </row>
    <row r="39" spans="1:29" ht="14" customHeight="1" x14ac:dyDescent="0.15">
      <c r="A39" s="10">
        <v>45022</v>
      </c>
      <c r="B39" s="8">
        <f t="shared" si="6"/>
        <v>46335</v>
      </c>
      <c r="C39" s="48" t="s">
        <v>29</v>
      </c>
      <c r="D39" s="49">
        <f t="shared" si="7"/>
        <v>0</v>
      </c>
      <c r="E39" s="24"/>
      <c r="F39" s="21"/>
      <c r="G39" s="21"/>
      <c r="H39" s="21"/>
      <c r="I39" s="20" t="s">
        <v>208</v>
      </c>
      <c r="J39" s="36"/>
      <c r="K39" s="36"/>
      <c r="L39" s="36"/>
      <c r="M39" s="36"/>
      <c r="N39" s="36"/>
      <c r="O39" s="21">
        <f t="shared" si="8"/>
        <v>0</v>
      </c>
      <c r="P39" s="21"/>
      <c r="Q39" s="21"/>
      <c r="R39" s="21"/>
      <c r="S39" s="21"/>
      <c r="T39" s="32" t="s">
        <v>208</v>
      </c>
      <c r="U39" s="36"/>
      <c r="V39" s="36"/>
      <c r="W39" s="36"/>
      <c r="X39" s="36"/>
      <c r="Y39" s="36"/>
      <c r="Z39" s="66" t="s">
        <v>209</v>
      </c>
      <c r="AA39" s="36">
        <v>37</v>
      </c>
      <c r="AB39" s="74" t="s">
        <v>210</v>
      </c>
      <c r="AC39" s="66" t="s">
        <v>211</v>
      </c>
    </row>
    <row r="40" spans="1:29" ht="14" customHeight="1" x14ac:dyDescent="0.15">
      <c r="A40" s="10">
        <v>45023</v>
      </c>
      <c r="B40" s="8">
        <f t="shared" si="6"/>
        <v>46342</v>
      </c>
      <c r="C40" s="48" t="s">
        <v>29</v>
      </c>
      <c r="D40" s="49">
        <f t="shared" si="7"/>
        <v>0</v>
      </c>
      <c r="E40" s="33" t="s">
        <v>208</v>
      </c>
      <c r="F40" s="20" t="s">
        <v>208</v>
      </c>
      <c r="G40" s="20" t="s">
        <v>208</v>
      </c>
      <c r="H40" s="20" t="s">
        <v>208</v>
      </c>
      <c r="I40" s="20" t="s">
        <v>116</v>
      </c>
      <c r="J40" s="36"/>
      <c r="K40" s="36"/>
      <c r="L40" s="36"/>
      <c r="M40" s="36"/>
      <c r="N40" s="36"/>
      <c r="O40" s="21">
        <f t="shared" si="8"/>
        <v>0</v>
      </c>
      <c r="P40" s="20" t="s">
        <v>208</v>
      </c>
      <c r="Q40" s="20" t="s">
        <v>208</v>
      </c>
      <c r="R40" s="20" t="s">
        <v>208</v>
      </c>
      <c r="S40" s="20" t="s">
        <v>208</v>
      </c>
      <c r="T40" s="32" t="s">
        <v>116</v>
      </c>
      <c r="U40" s="36"/>
      <c r="V40" s="36"/>
      <c r="W40" s="36"/>
      <c r="X40" s="36"/>
      <c r="Y40" s="36"/>
      <c r="Z40" s="66" t="s">
        <v>209</v>
      </c>
      <c r="AA40" s="36">
        <v>38</v>
      </c>
      <c r="AB40" s="74" t="s">
        <v>212</v>
      </c>
      <c r="AC40" s="66" t="s">
        <v>213</v>
      </c>
    </row>
    <row r="41" spans="1:29" ht="14" customHeight="1" x14ac:dyDescent="0.15">
      <c r="A41" s="10">
        <v>45024</v>
      </c>
      <c r="B41" s="8">
        <f t="shared" si="6"/>
        <v>46349</v>
      </c>
      <c r="C41" s="48" t="s">
        <v>19</v>
      </c>
      <c r="D41" s="49">
        <f t="shared" si="7"/>
        <v>0</v>
      </c>
      <c r="E41" s="33" t="s">
        <v>214</v>
      </c>
      <c r="F41" s="20" t="s">
        <v>214</v>
      </c>
      <c r="G41" s="20" t="s">
        <v>214</v>
      </c>
      <c r="H41" s="34"/>
      <c r="I41" s="34"/>
      <c r="J41" s="36"/>
      <c r="K41" s="36"/>
      <c r="L41" s="36"/>
      <c r="M41" s="36"/>
      <c r="N41" s="36"/>
      <c r="O41" s="21">
        <f t="shared" si="8"/>
        <v>0</v>
      </c>
      <c r="P41" s="20" t="s">
        <v>214</v>
      </c>
      <c r="Q41" s="20" t="s">
        <v>214</v>
      </c>
      <c r="R41" s="20" t="s">
        <v>214</v>
      </c>
      <c r="S41" s="34"/>
      <c r="T41" s="35"/>
      <c r="U41" s="36"/>
      <c r="V41" s="36"/>
      <c r="W41" s="36"/>
      <c r="X41" s="36"/>
      <c r="Y41" s="36"/>
      <c r="Z41" s="66" t="s">
        <v>209</v>
      </c>
      <c r="AA41" s="36">
        <v>39</v>
      </c>
      <c r="AB41" s="74" t="s">
        <v>215</v>
      </c>
      <c r="AC41" s="66" t="s">
        <v>216</v>
      </c>
    </row>
    <row r="42" spans="1:29" ht="14" customHeight="1" x14ac:dyDescent="0.15">
      <c r="A42" s="10">
        <v>45025</v>
      </c>
      <c r="B42" s="8">
        <f t="shared" si="6"/>
        <v>46356</v>
      </c>
      <c r="C42" s="48" t="s">
        <v>29</v>
      </c>
      <c r="D42" s="49">
        <f t="shared" si="7"/>
        <v>0</v>
      </c>
      <c r="E42" s="38"/>
      <c r="F42" s="36"/>
      <c r="G42" s="36"/>
      <c r="H42" s="36"/>
      <c r="I42" s="36" t="s">
        <v>217</v>
      </c>
      <c r="J42" s="36"/>
      <c r="K42" s="36"/>
      <c r="L42" s="36"/>
      <c r="M42" s="36"/>
      <c r="N42" s="36"/>
      <c r="O42" s="21">
        <f t="shared" si="8"/>
        <v>0</v>
      </c>
      <c r="P42" s="36"/>
      <c r="Q42" s="36"/>
      <c r="R42" s="36"/>
      <c r="S42" s="36"/>
      <c r="T42" s="39" t="s">
        <v>217</v>
      </c>
      <c r="U42" s="36"/>
      <c r="V42" s="36"/>
      <c r="W42" s="36"/>
      <c r="X42" s="36"/>
      <c r="Y42" s="36" t="s">
        <v>217</v>
      </c>
      <c r="Z42" s="66" t="s">
        <v>209</v>
      </c>
      <c r="AA42" s="36">
        <v>40</v>
      </c>
      <c r="AB42" s="74" t="s">
        <v>218</v>
      </c>
      <c r="AC42" s="66" t="s">
        <v>219</v>
      </c>
    </row>
    <row r="43" spans="1:29" ht="16" customHeight="1" thickBot="1" x14ac:dyDescent="0.2">
      <c r="A43" s="10">
        <v>45026</v>
      </c>
      <c r="B43" s="8">
        <f t="shared" si="6"/>
        <v>46363</v>
      </c>
      <c r="C43" s="36" t="s">
        <v>19</v>
      </c>
      <c r="D43" s="49">
        <f t="shared" si="7"/>
        <v>0</v>
      </c>
      <c r="E43" s="40"/>
      <c r="F43" s="41"/>
      <c r="G43" s="41"/>
      <c r="H43" s="41"/>
      <c r="I43" s="41"/>
      <c r="J43" s="36"/>
      <c r="K43" s="36"/>
      <c r="L43" s="36"/>
      <c r="M43" s="36"/>
      <c r="N43" s="36"/>
      <c r="O43" s="21">
        <f t="shared" si="8"/>
        <v>0</v>
      </c>
      <c r="P43" s="41"/>
      <c r="Q43" s="41"/>
      <c r="R43" s="41"/>
      <c r="S43" s="41"/>
      <c r="T43" s="42"/>
      <c r="U43" s="36"/>
      <c r="V43" s="36"/>
      <c r="W43" s="36"/>
      <c r="X43" s="36"/>
      <c r="Y43" s="36"/>
      <c r="Z43" s="66" t="s">
        <v>209</v>
      </c>
      <c r="AA43" s="36">
        <v>41</v>
      </c>
      <c r="AB43" s="74" t="s">
        <v>220</v>
      </c>
      <c r="AC43" s="66" t="s">
        <v>221</v>
      </c>
    </row>
    <row r="44" spans="1:29" ht="14" customHeight="1" x14ac:dyDescent="0.15">
      <c r="A44" s="30"/>
      <c r="B44" s="30"/>
      <c r="C44" s="30"/>
      <c r="D44" s="30">
        <f>SUM(D3:D43)</f>
        <v>107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>
        <f>SUM(O3:O43)</f>
        <v>103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66" t="s">
        <v>209</v>
      </c>
      <c r="AA44" s="36">
        <v>42</v>
      </c>
      <c r="AB44" s="74" t="s">
        <v>222</v>
      </c>
      <c r="AC44" s="66" t="s">
        <v>223</v>
      </c>
    </row>
    <row r="45" spans="1:29" ht="16" customHeight="1" x14ac:dyDescent="0.15">
      <c r="A45" s="36"/>
      <c r="B45" s="36"/>
      <c r="C45" s="36"/>
      <c r="D45" s="36"/>
      <c r="E45" s="36"/>
      <c r="F45" s="36"/>
      <c r="G45" s="36"/>
      <c r="H45" s="36"/>
      <c r="I45" s="36"/>
      <c r="J45" s="84" t="s">
        <v>224</v>
      </c>
      <c r="K45" s="84" t="s">
        <v>225</v>
      </c>
      <c r="L45" s="84" t="s">
        <v>14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66" t="s">
        <v>209</v>
      </c>
      <c r="AA45" s="36">
        <v>43</v>
      </c>
      <c r="AB45" s="74" t="s">
        <v>65</v>
      </c>
      <c r="AC45" s="66" t="s">
        <v>226</v>
      </c>
    </row>
    <row r="46" spans="1:29" ht="16" customHeight="1" x14ac:dyDescent="0.15">
      <c r="A46" s="48" t="s">
        <v>227</v>
      </c>
      <c r="B46" s="48" t="s">
        <v>228</v>
      </c>
      <c r="C46" s="36" t="s">
        <v>229</v>
      </c>
      <c r="D46" s="36" t="s">
        <v>230</v>
      </c>
      <c r="E46" s="36"/>
      <c r="F46" s="36"/>
      <c r="G46" s="36"/>
      <c r="H46" s="36"/>
      <c r="I46" s="36"/>
      <c r="J46" s="85" t="s">
        <v>231</v>
      </c>
      <c r="K46" s="86">
        <v>29</v>
      </c>
      <c r="L46" s="85">
        <v>18</v>
      </c>
      <c r="M46" s="36"/>
      <c r="N46" s="87">
        <v>46104</v>
      </c>
      <c r="O46" s="36"/>
      <c r="P46" s="67"/>
      <c r="Q46" s="36"/>
      <c r="R46" s="36"/>
      <c r="S46" s="36"/>
      <c r="T46" s="36"/>
      <c r="U46" s="36"/>
      <c r="V46" s="36"/>
      <c r="W46" s="36"/>
      <c r="X46" s="36"/>
      <c r="Y46" s="36"/>
      <c r="Z46" s="66" t="s">
        <v>209</v>
      </c>
      <c r="AA46" s="36">
        <v>44</v>
      </c>
      <c r="AB46" s="74" t="s">
        <v>70</v>
      </c>
      <c r="AC46" s="66" t="s">
        <v>232</v>
      </c>
    </row>
    <row r="47" spans="1:29" ht="16" customHeight="1" x14ac:dyDescent="0.15">
      <c r="A47" s="48" t="s">
        <v>227</v>
      </c>
      <c r="B47" s="48" t="s">
        <v>233</v>
      </c>
      <c r="C47" s="36" t="s">
        <v>234</v>
      </c>
      <c r="D47" s="36" t="s">
        <v>230</v>
      </c>
      <c r="E47" s="36"/>
      <c r="F47" s="36"/>
      <c r="G47" s="36"/>
      <c r="H47" s="36"/>
      <c r="I47" s="36"/>
      <c r="J47" s="88" t="s">
        <v>235</v>
      </c>
      <c r="K47" s="89">
        <v>26</v>
      </c>
      <c r="L47" s="88">
        <v>22</v>
      </c>
      <c r="M47" s="36"/>
      <c r="N47" s="87">
        <v>46146</v>
      </c>
      <c r="O47" s="36"/>
      <c r="P47" s="67"/>
      <c r="Q47" s="36"/>
      <c r="R47" s="36"/>
      <c r="S47" s="36"/>
      <c r="T47" s="36"/>
      <c r="U47" s="36"/>
      <c r="V47" s="36"/>
      <c r="W47" s="36"/>
      <c r="X47" s="36"/>
      <c r="Y47" s="36"/>
      <c r="Z47" s="66" t="s">
        <v>209</v>
      </c>
      <c r="AA47" s="36">
        <v>45</v>
      </c>
      <c r="AB47" s="74" t="s">
        <v>71</v>
      </c>
      <c r="AC47" s="66" t="s">
        <v>236</v>
      </c>
    </row>
    <row r="48" spans="1:29" ht="16" customHeight="1" x14ac:dyDescent="0.15">
      <c r="A48" s="48" t="s">
        <v>227</v>
      </c>
      <c r="B48" s="48" t="s">
        <v>237</v>
      </c>
      <c r="C48" s="36" t="s">
        <v>238</v>
      </c>
      <c r="D48" s="36" t="s">
        <v>230</v>
      </c>
      <c r="E48" s="36"/>
      <c r="F48" s="36"/>
      <c r="G48" s="36"/>
      <c r="H48" s="36"/>
      <c r="I48" s="36"/>
      <c r="J48" s="90" t="s">
        <v>239</v>
      </c>
      <c r="K48" s="91">
        <v>27</v>
      </c>
      <c r="L48" s="91">
        <v>18</v>
      </c>
      <c r="M48" s="36"/>
      <c r="N48" s="87">
        <v>46174</v>
      </c>
      <c r="O48" s="36"/>
      <c r="P48" s="67"/>
      <c r="Q48" s="36"/>
      <c r="R48" s="36"/>
      <c r="S48" s="36"/>
      <c r="T48" s="36"/>
      <c r="U48" s="36"/>
      <c r="V48" s="36"/>
      <c r="W48" s="36"/>
      <c r="X48" s="36"/>
      <c r="Y48" s="36"/>
      <c r="Z48" s="66" t="s">
        <v>209</v>
      </c>
      <c r="AA48" s="36">
        <v>46</v>
      </c>
      <c r="AB48" s="74" t="s">
        <v>72</v>
      </c>
      <c r="AC48" s="66" t="s">
        <v>240</v>
      </c>
    </row>
    <row r="49" spans="1:29" ht="16.5" customHeight="1" x14ac:dyDescent="0.15">
      <c r="A49" s="48" t="s">
        <v>227</v>
      </c>
      <c r="B49" s="48" t="s">
        <v>241</v>
      </c>
      <c r="C49" s="36" t="s">
        <v>229</v>
      </c>
      <c r="D49" s="36" t="s">
        <v>230</v>
      </c>
      <c r="E49" s="36"/>
      <c r="F49" s="36"/>
      <c r="G49" s="36"/>
      <c r="H49" s="36"/>
      <c r="I49" s="36"/>
      <c r="J49" s="92" t="s">
        <v>242</v>
      </c>
      <c r="K49" s="93">
        <v>46</v>
      </c>
      <c r="L49" s="93">
        <v>33</v>
      </c>
      <c r="M49" s="36"/>
      <c r="N49" s="87">
        <v>46251</v>
      </c>
      <c r="O49" s="36"/>
      <c r="P49" s="67"/>
      <c r="Q49" s="36"/>
      <c r="R49" s="36"/>
      <c r="S49" s="36"/>
      <c r="T49" s="36"/>
      <c r="U49" s="36"/>
      <c r="V49" s="36"/>
      <c r="W49" s="36"/>
      <c r="X49" s="36"/>
      <c r="Y49" s="36"/>
      <c r="Z49" s="66" t="s">
        <v>243</v>
      </c>
      <c r="AA49" s="36">
        <v>47</v>
      </c>
      <c r="AB49" s="74" t="s">
        <v>244</v>
      </c>
      <c r="AC49" s="66" t="s">
        <v>245</v>
      </c>
    </row>
    <row r="50" spans="1:29" ht="16.5" customHeight="1" x14ac:dyDescent="0.15">
      <c r="A50" s="48" t="s">
        <v>227</v>
      </c>
      <c r="B50" s="48" t="s">
        <v>246</v>
      </c>
      <c r="C50" s="36" t="s">
        <v>247</v>
      </c>
      <c r="D50" s="36" t="s">
        <v>248</v>
      </c>
      <c r="E50" s="36"/>
      <c r="F50" s="36"/>
      <c r="G50" s="36"/>
      <c r="H50" s="36"/>
      <c r="I50" s="36"/>
      <c r="J50" s="94" t="s">
        <v>249</v>
      </c>
      <c r="K50" s="95" t="s">
        <v>250</v>
      </c>
      <c r="L50" s="95">
        <v>12</v>
      </c>
      <c r="M50" s="36"/>
      <c r="N50" s="87">
        <v>46258</v>
      </c>
      <c r="O50" s="36"/>
      <c r="P50" s="67"/>
      <c r="Q50" s="67"/>
      <c r="R50" s="36"/>
      <c r="S50" s="36"/>
      <c r="T50" s="36"/>
      <c r="U50" s="36"/>
      <c r="V50" s="36"/>
      <c r="W50" s="36"/>
      <c r="X50" s="36"/>
      <c r="Y50" s="36"/>
      <c r="Z50" s="66" t="s">
        <v>243</v>
      </c>
      <c r="AA50" s="36">
        <v>48</v>
      </c>
      <c r="AB50" s="74" t="s">
        <v>251</v>
      </c>
      <c r="AC50" s="66" t="s">
        <v>252</v>
      </c>
    </row>
    <row r="51" spans="1:29" ht="16.5" customHeight="1" x14ac:dyDescent="0.15">
      <c r="A51" s="36"/>
      <c r="B51" s="36"/>
      <c r="C51" s="36"/>
      <c r="D51" s="36"/>
      <c r="E51" s="36"/>
      <c r="F51" s="36"/>
      <c r="G51" s="36"/>
      <c r="H51" s="36"/>
      <c r="I51" s="36"/>
      <c r="J51" s="94" t="s">
        <v>253</v>
      </c>
      <c r="K51" s="94">
        <v>128</v>
      </c>
      <c r="L51" s="94">
        <v>103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66" t="s">
        <v>243</v>
      </c>
      <c r="AA51" s="36">
        <v>49</v>
      </c>
      <c r="AB51" s="74" t="s">
        <v>254</v>
      </c>
      <c r="AC51" s="66" t="s">
        <v>255</v>
      </c>
    </row>
    <row r="52" spans="1:29" ht="16.5" customHeight="1" x14ac:dyDescent="0.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66" t="s">
        <v>243</v>
      </c>
      <c r="AA52" s="36">
        <v>50</v>
      </c>
      <c r="AB52" s="74" t="s">
        <v>256</v>
      </c>
      <c r="AC52" s="66" t="s">
        <v>257</v>
      </c>
    </row>
    <row r="53" spans="1:29" ht="16.5" customHeight="1" x14ac:dyDescent="0.1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66" t="s">
        <v>243</v>
      </c>
      <c r="AA53" s="36">
        <v>51</v>
      </c>
      <c r="AB53" s="74" t="s">
        <v>78</v>
      </c>
      <c r="AC53" s="66" t="s">
        <v>258</v>
      </c>
    </row>
    <row r="54" spans="1:29" ht="16.5" customHeight="1" x14ac:dyDescent="0.15">
      <c r="A54" s="68"/>
      <c r="B54" s="68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66" t="s">
        <v>243</v>
      </c>
      <c r="AA54" s="36">
        <v>52</v>
      </c>
      <c r="AB54" s="74" t="s">
        <v>259</v>
      </c>
      <c r="AC54" s="66" t="s">
        <v>260</v>
      </c>
    </row>
    <row r="55" spans="1:29" ht="16.5" customHeight="1" x14ac:dyDescent="0.15">
      <c r="A55" s="68"/>
      <c r="B55" s="68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66" t="s">
        <v>243</v>
      </c>
      <c r="AA55" s="36">
        <v>53</v>
      </c>
      <c r="AB55" s="74" t="s">
        <v>261</v>
      </c>
      <c r="AC55" s="66" t="s">
        <v>262</v>
      </c>
    </row>
    <row r="56" spans="1:29" x14ac:dyDescent="0.2">
      <c r="A56" s="69"/>
      <c r="B56" s="70"/>
      <c r="C56" s="69"/>
      <c r="D56" s="36"/>
      <c r="E56" s="36"/>
      <c r="F56" s="36"/>
      <c r="G56" s="36"/>
      <c r="H56" s="36"/>
      <c r="I56" s="36"/>
      <c r="J56" s="9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66" t="s">
        <v>243</v>
      </c>
      <c r="AA56" s="36">
        <v>54</v>
      </c>
      <c r="AB56" s="74" t="s">
        <v>80</v>
      </c>
      <c r="AC56" s="66" t="s">
        <v>263</v>
      </c>
    </row>
    <row r="57" spans="1:29" ht="14" customHeight="1" x14ac:dyDescent="0.15">
      <c r="A57" s="69"/>
      <c r="B57" s="70"/>
      <c r="C57" s="69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66" t="s">
        <v>243</v>
      </c>
      <c r="AA57" s="36">
        <v>55</v>
      </c>
      <c r="AB57" s="74" t="s">
        <v>81</v>
      </c>
      <c r="AC57" s="66" t="s">
        <v>264</v>
      </c>
    </row>
    <row r="58" spans="1:29" ht="14" customHeight="1" x14ac:dyDescent="0.15">
      <c r="A58" s="69"/>
      <c r="B58" s="70"/>
      <c r="C58" s="69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71" t="s">
        <v>265</v>
      </c>
      <c r="AA58" s="36">
        <v>56</v>
      </c>
      <c r="AB58" s="74" t="s">
        <v>266</v>
      </c>
      <c r="AC58" s="71" t="s">
        <v>267</v>
      </c>
    </row>
    <row r="59" spans="1:29" ht="14" customHeight="1" x14ac:dyDescent="0.15">
      <c r="A59" s="69"/>
      <c r="B59" s="70"/>
      <c r="C59" s="69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71" t="s">
        <v>265</v>
      </c>
      <c r="AA59" s="36">
        <v>57</v>
      </c>
      <c r="AB59" s="74" t="s">
        <v>268</v>
      </c>
      <c r="AC59" s="71" t="s">
        <v>269</v>
      </c>
    </row>
    <row r="60" spans="1:29" ht="14" customHeight="1" x14ac:dyDescent="0.15">
      <c r="A60" s="69"/>
      <c r="B60" s="70"/>
      <c r="C60" s="69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71" t="s">
        <v>265</v>
      </c>
      <c r="AA60" s="36">
        <v>58</v>
      </c>
      <c r="AB60" s="74" t="s">
        <v>270</v>
      </c>
      <c r="AC60" s="71" t="s">
        <v>271</v>
      </c>
    </row>
    <row r="61" spans="1:29" ht="14" customHeight="1" x14ac:dyDescent="0.15">
      <c r="A61" s="69"/>
      <c r="B61" s="70"/>
      <c r="C61" s="69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71" t="s">
        <v>265</v>
      </c>
      <c r="AA61" s="36">
        <v>59</v>
      </c>
      <c r="AB61" s="74" t="s">
        <v>272</v>
      </c>
      <c r="AC61" s="71" t="s">
        <v>273</v>
      </c>
    </row>
    <row r="62" spans="1:29" ht="14" customHeight="1" x14ac:dyDescent="0.15">
      <c r="A62" s="69"/>
      <c r="B62" s="70"/>
      <c r="C62" s="69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71" t="s">
        <v>274</v>
      </c>
      <c r="AA62" s="36">
        <v>60</v>
      </c>
      <c r="AB62" s="74" t="s">
        <v>275</v>
      </c>
      <c r="AC62" s="71" t="s">
        <v>276</v>
      </c>
    </row>
    <row r="63" spans="1:29" ht="14" customHeight="1" x14ac:dyDescent="0.15">
      <c r="A63" s="69"/>
      <c r="B63" s="70"/>
      <c r="C63" s="69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71" t="s">
        <v>274</v>
      </c>
      <c r="AA63" s="36">
        <v>61</v>
      </c>
      <c r="AB63" s="74" t="s">
        <v>277</v>
      </c>
      <c r="AC63" s="71" t="s">
        <v>278</v>
      </c>
    </row>
    <row r="64" spans="1:29" ht="14" customHeight="1" x14ac:dyDescent="0.15">
      <c r="A64" s="69"/>
      <c r="B64" s="70"/>
      <c r="C64" s="69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71" t="s">
        <v>274</v>
      </c>
      <c r="AA64" s="36">
        <v>62</v>
      </c>
      <c r="AB64" s="74" t="s">
        <v>92</v>
      </c>
      <c r="AC64" s="71" t="s">
        <v>279</v>
      </c>
    </row>
    <row r="65" spans="1:29" ht="14" customHeight="1" x14ac:dyDescent="0.15">
      <c r="A65" s="69"/>
      <c r="B65" s="70"/>
      <c r="C65" s="69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71" t="s">
        <v>274</v>
      </c>
      <c r="AA65" s="36">
        <v>63</v>
      </c>
      <c r="AB65" s="74" t="s">
        <v>93</v>
      </c>
      <c r="AC65" s="71" t="s">
        <v>280</v>
      </c>
    </row>
    <row r="66" spans="1:29" ht="14" customHeight="1" x14ac:dyDescent="0.15">
      <c r="A66" s="36"/>
      <c r="B66" s="72"/>
      <c r="C66" s="4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71" t="s">
        <v>274</v>
      </c>
      <c r="AA66" s="36">
        <v>64</v>
      </c>
      <c r="AB66" s="74" t="s">
        <v>94</v>
      </c>
      <c r="AC66" s="71" t="s">
        <v>281</v>
      </c>
    </row>
    <row r="67" spans="1:29" ht="14" customHeight="1" x14ac:dyDescent="0.15">
      <c r="A67" s="36"/>
      <c r="B67" s="72"/>
      <c r="C67" s="48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71" t="s">
        <v>274</v>
      </c>
      <c r="AA67" s="36">
        <v>65</v>
      </c>
      <c r="AB67" s="74" t="s">
        <v>282</v>
      </c>
      <c r="AC67" s="71" t="s">
        <v>283</v>
      </c>
    </row>
    <row r="68" spans="1:29" ht="14" customHeight="1" x14ac:dyDescent="0.15">
      <c r="A68" s="36"/>
      <c r="B68" s="72"/>
      <c r="C68" s="48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71" t="s">
        <v>284</v>
      </c>
      <c r="AA68" s="36">
        <v>66</v>
      </c>
      <c r="AB68" s="74" t="s">
        <v>285</v>
      </c>
      <c r="AC68" s="71" t="s">
        <v>286</v>
      </c>
    </row>
    <row r="69" spans="1:29" ht="14" customHeight="1" x14ac:dyDescent="0.15">
      <c r="A69" s="36"/>
      <c r="B69" s="72"/>
      <c r="C69" s="48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71" t="s">
        <v>284</v>
      </c>
      <c r="AA69" s="36">
        <v>67</v>
      </c>
      <c r="AB69" s="74" t="s">
        <v>287</v>
      </c>
      <c r="AC69" s="71" t="s">
        <v>288</v>
      </c>
    </row>
    <row r="70" spans="1:29" ht="14" customHeight="1" x14ac:dyDescent="0.15">
      <c r="A70" s="36"/>
      <c r="B70" s="72"/>
      <c r="C70" s="4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71" t="s">
        <v>284</v>
      </c>
      <c r="AA70" s="36">
        <v>68</v>
      </c>
      <c r="AB70" s="74" t="s">
        <v>289</v>
      </c>
      <c r="AC70" s="71" t="s">
        <v>290</v>
      </c>
    </row>
    <row r="71" spans="1:29" ht="14" customHeight="1" x14ac:dyDescent="0.15">
      <c r="A71" s="36"/>
      <c r="B71" s="72"/>
      <c r="C71" s="48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71" t="s">
        <v>284</v>
      </c>
      <c r="AA71" s="36">
        <v>69</v>
      </c>
      <c r="AB71" s="74" t="s">
        <v>291</v>
      </c>
      <c r="AC71" s="71" t="s">
        <v>292</v>
      </c>
    </row>
    <row r="72" spans="1:29" ht="14" customHeight="1" x14ac:dyDescent="0.15">
      <c r="A72" s="36"/>
      <c r="B72" s="72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71" t="s">
        <v>293</v>
      </c>
      <c r="AA72" s="36">
        <v>70</v>
      </c>
      <c r="AB72" s="74" t="s">
        <v>294</v>
      </c>
      <c r="AC72" s="71" t="s">
        <v>295</v>
      </c>
    </row>
    <row r="73" spans="1:29" ht="14" customHeight="1" x14ac:dyDescent="0.15">
      <c r="A73" s="36"/>
      <c r="B73" s="72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71" t="s">
        <v>293</v>
      </c>
      <c r="AA73" s="36">
        <v>71</v>
      </c>
      <c r="AB73" s="74" t="s">
        <v>296</v>
      </c>
      <c r="AC73" s="71" t="s">
        <v>297</v>
      </c>
    </row>
    <row r="74" spans="1:29" ht="14" customHeight="1" x14ac:dyDescent="0.15">
      <c r="A74" s="36"/>
      <c r="B74" s="72"/>
      <c r="C74" s="48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71" t="s">
        <v>293</v>
      </c>
      <c r="AA74" s="36">
        <v>72</v>
      </c>
      <c r="AB74" s="74" t="s">
        <v>298</v>
      </c>
      <c r="AC74" s="71" t="s">
        <v>299</v>
      </c>
    </row>
    <row r="75" spans="1:29" ht="14" customHeight="1" x14ac:dyDescent="0.15">
      <c r="A75" s="36"/>
      <c r="B75" s="72"/>
      <c r="C75" s="48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71" t="s">
        <v>300</v>
      </c>
      <c r="AA75" s="36">
        <v>73</v>
      </c>
      <c r="AB75" s="74" t="s">
        <v>103</v>
      </c>
      <c r="AC75" s="71" t="s">
        <v>301</v>
      </c>
    </row>
    <row r="76" spans="1:29" ht="14" customHeight="1" x14ac:dyDescent="0.15">
      <c r="A76" s="36"/>
      <c r="B76" s="72"/>
      <c r="C76" s="48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71" t="s">
        <v>300</v>
      </c>
      <c r="AA76" s="36">
        <v>74</v>
      </c>
      <c r="AB76" s="74" t="s">
        <v>302</v>
      </c>
      <c r="AC76" s="71" t="s">
        <v>303</v>
      </c>
    </row>
    <row r="77" spans="1:29" ht="14" customHeight="1" x14ac:dyDescent="0.15">
      <c r="A77" s="36"/>
      <c r="B77" s="72"/>
      <c r="C77" s="48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71" t="s">
        <v>300</v>
      </c>
      <c r="AA77" s="36">
        <v>75</v>
      </c>
      <c r="AB77" s="74" t="s">
        <v>304</v>
      </c>
      <c r="AC77" s="71" t="s">
        <v>305</v>
      </c>
    </row>
    <row r="78" spans="1:29" ht="14" customHeight="1" x14ac:dyDescent="0.15">
      <c r="A78" s="36"/>
      <c r="B78" s="72"/>
      <c r="C78" s="48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71" t="s">
        <v>306</v>
      </c>
      <c r="AA78" s="36">
        <v>76</v>
      </c>
      <c r="AB78" s="74" t="s">
        <v>307</v>
      </c>
      <c r="AC78" s="71" t="s">
        <v>308</v>
      </c>
    </row>
    <row r="79" spans="1:29" ht="14" customHeight="1" x14ac:dyDescent="0.15">
      <c r="A79" s="36"/>
      <c r="B79" s="72"/>
      <c r="C79" s="4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71" t="s">
        <v>306</v>
      </c>
      <c r="AA79" s="36">
        <v>77</v>
      </c>
      <c r="AB79" s="74" t="s">
        <v>309</v>
      </c>
      <c r="AC79" s="71" t="s">
        <v>310</v>
      </c>
    </row>
    <row r="80" spans="1:29" ht="14" customHeight="1" x14ac:dyDescent="0.15">
      <c r="A80" s="36"/>
      <c r="B80" s="72"/>
      <c r="C80" s="4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71" t="s">
        <v>306</v>
      </c>
      <c r="AA80" s="36">
        <v>78</v>
      </c>
      <c r="AB80" s="74" t="s">
        <v>311</v>
      </c>
      <c r="AC80" s="71" t="s">
        <v>312</v>
      </c>
    </row>
    <row r="81" spans="2:29" ht="14" customHeight="1" x14ac:dyDescent="0.15">
      <c r="B81" s="72"/>
      <c r="C81" s="4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71" t="s">
        <v>306</v>
      </c>
      <c r="AA81" s="36">
        <v>79</v>
      </c>
      <c r="AB81" s="74" t="s">
        <v>313</v>
      </c>
      <c r="AC81" s="71" t="s">
        <v>314</v>
      </c>
    </row>
    <row r="82" spans="2:29" ht="14" customHeight="1" x14ac:dyDescent="0.15">
      <c r="B82" s="72"/>
      <c r="C82" s="48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71" t="s">
        <v>306</v>
      </c>
      <c r="AA82" s="36">
        <v>80</v>
      </c>
      <c r="AB82" s="74" t="s">
        <v>108</v>
      </c>
      <c r="AC82" s="71" t="s">
        <v>315</v>
      </c>
    </row>
    <row r="83" spans="2:29" ht="14" customHeight="1" x14ac:dyDescent="0.15">
      <c r="B83" s="72"/>
      <c r="C83" s="48"/>
      <c r="D83" s="36"/>
      <c r="E83" s="36"/>
      <c r="F83" s="36"/>
      <c r="G83" s="36"/>
      <c r="H83" s="36"/>
      <c r="I83" s="36"/>
      <c r="J83" s="69"/>
      <c r="K83" s="69"/>
      <c r="L83" s="69"/>
      <c r="M83" s="69"/>
      <c r="N83" s="69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71" t="s">
        <v>316</v>
      </c>
      <c r="AA83" s="36">
        <v>81</v>
      </c>
      <c r="AB83" s="74" t="s">
        <v>109</v>
      </c>
      <c r="AC83" s="71" t="s">
        <v>317</v>
      </c>
    </row>
    <row r="84" spans="2:29" ht="14" customHeight="1" x14ac:dyDescent="0.15">
      <c r="B84" s="72"/>
      <c r="C84" s="48"/>
      <c r="D84" s="36"/>
      <c r="E84" s="36"/>
      <c r="F84" s="36"/>
      <c r="G84" s="36"/>
      <c r="H84" s="36"/>
      <c r="I84" s="36"/>
      <c r="J84" s="69"/>
      <c r="K84" s="69"/>
      <c r="L84" s="69"/>
      <c r="M84" s="69"/>
      <c r="N84" s="69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71" t="s">
        <v>316</v>
      </c>
      <c r="AA84" s="36">
        <v>82</v>
      </c>
      <c r="AB84" s="74" t="s">
        <v>110</v>
      </c>
      <c r="AC84" s="71" t="s">
        <v>318</v>
      </c>
    </row>
    <row r="85" spans="2:29" ht="14" customHeight="1" x14ac:dyDescent="0.15">
      <c r="B85" s="72"/>
      <c r="C85" s="48"/>
      <c r="D85" s="36"/>
      <c r="E85" s="36"/>
      <c r="F85" s="36"/>
      <c r="G85" s="36"/>
      <c r="H85" s="36"/>
      <c r="I85" s="36"/>
      <c r="J85" s="69"/>
      <c r="K85" s="69"/>
      <c r="L85" s="69"/>
      <c r="M85" s="69"/>
      <c r="N85" s="69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73" t="s">
        <v>319</v>
      </c>
      <c r="AA85" s="36">
        <v>83</v>
      </c>
      <c r="AB85" s="74" t="s">
        <v>320</v>
      </c>
      <c r="AC85" s="73" t="s">
        <v>321</v>
      </c>
    </row>
    <row r="86" spans="2:29" ht="14" customHeight="1" x14ac:dyDescent="0.15">
      <c r="B86" s="72"/>
      <c r="C86" s="48"/>
      <c r="D86" s="36"/>
      <c r="E86" s="36"/>
      <c r="F86" s="36"/>
      <c r="G86" s="36"/>
      <c r="H86" s="36"/>
      <c r="I86" s="36"/>
      <c r="J86" s="69"/>
      <c r="K86" s="69"/>
      <c r="L86" s="69"/>
      <c r="M86" s="69"/>
      <c r="N86" s="69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73" t="s">
        <v>319</v>
      </c>
      <c r="AA86" s="36">
        <v>84</v>
      </c>
      <c r="AB86" s="74" t="s">
        <v>322</v>
      </c>
      <c r="AC86" s="73" t="s">
        <v>323</v>
      </c>
    </row>
    <row r="87" spans="2:29" ht="14" customHeight="1" x14ac:dyDescent="0.15">
      <c r="B87" s="72"/>
      <c r="C87" s="4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73" t="s">
        <v>319</v>
      </c>
      <c r="AA87" s="36">
        <v>85</v>
      </c>
      <c r="AB87" s="74" t="s">
        <v>118</v>
      </c>
      <c r="AC87" s="73" t="s">
        <v>324</v>
      </c>
    </row>
    <row r="88" spans="2:29" ht="14" customHeight="1" x14ac:dyDescent="0.15">
      <c r="B88" s="72"/>
      <c r="C88" s="4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73" t="s">
        <v>319</v>
      </c>
      <c r="AA88" s="36">
        <v>86</v>
      </c>
      <c r="AB88" s="74" t="s">
        <v>119</v>
      </c>
      <c r="AC88" s="73" t="s">
        <v>325</v>
      </c>
    </row>
    <row r="89" spans="2:29" ht="14" customHeight="1" x14ac:dyDescent="0.15">
      <c r="B89" s="72"/>
      <c r="C89" s="4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73" t="s">
        <v>319</v>
      </c>
      <c r="AA89" s="36">
        <v>87</v>
      </c>
      <c r="AB89" s="74" t="s">
        <v>326</v>
      </c>
      <c r="AC89" s="73" t="s">
        <v>327</v>
      </c>
    </row>
    <row r="90" spans="2:29" ht="14" customHeight="1" x14ac:dyDescent="0.15">
      <c r="B90" s="72"/>
      <c r="C90" s="4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73" t="s">
        <v>319</v>
      </c>
      <c r="AA90" s="36">
        <v>88</v>
      </c>
      <c r="AB90" s="74" t="s">
        <v>328</v>
      </c>
      <c r="AC90" s="73" t="s">
        <v>329</v>
      </c>
    </row>
    <row r="91" spans="2:29" ht="14" customHeight="1" x14ac:dyDescent="0.15">
      <c r="B91" s="72"/>
      <c r="C91" s="4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73" t="s">
        <v>319</v>
      </c>
      <c r="AA91" s="36">
        <v>89</v>
      </c>
      <c r="AB91" s="74" t="s">
        <v>121</v>
      </c>
      <c r="AC91" s="73" t="s">
        <v>330</v>
      </c>
    </row>
    <row r="92" spans="2:29" ht="14" customHeight="1" x14ac:dyDescent="0.15">
      <c r="B92" s="72"/>
      <c r="C92" s="4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73" t="s">
        <v>319</v>
      </c>
      <c r="AA92" s="36">
        <v>90</v>
      </c>
      <c r="AB92" s="74" t="s">
        <v>125</v>
      </c>
      <c r="AC92" s="73" t="s">
        <v>331</v>
      </c>
    </row>
    <row r="93" spans="2:29" ht="14" customHeight="1" x14ac:dyDescent="0.15">
      <c r="B93" s="72"/>
      <c r="C93" s="4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73" t="s">
        <v>319</v>
      </c>
      <c r="AA93" s="36">
        <v>91</v>
      </c>
      <c r="AB93" s="74" t="s">
        <v>126</v>
      </c>
      <c r="AC93" s="73" t="s">
        <v>332</v>
      </c>
    </row>
    <row r="94" spans="2:29" ht="14" customHeight="1" x14ac:dyDescent="0.15">
      <c r="B94" s="72"/>
      <c r="C94" s="4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73" t="s">
        <v>333</v>
      </c>
      <c r="AA94" s="36">
        <v>92</v>
      </c>
      <c r="AB94" s="74" t="s">
        <v>127</v>
      </c>
      <c r="AC94" s="73" t="s">
        <v>334</v>
      </c>
    </row>
    <row r="95" spans="2:29" ht="14" customHeight="1" x14ac:dyDescent="0.15">
      <c r="B95" s="72"/>
      <c r="C95" s="4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73" t="s">
        <v>333</v>
      </c>
      <c r="AA95" s="36">
        <v>93</v>
      </c>
      <c r="AB95" s="74" t="s">
        <v>128</v>
      </c>
      <c r="AC95" s="73" t="s">
        <v>335</v>
      </c>
    </row>
    <row r="96" spans="2:29" ht="14" customHeight="1" x14ac:dyDescent="0.15">
      <c r="B96" s="72"/>
      <c r="C96" s="4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73" t="s">
        <v>333</v>
      </c>
      <c r="AA96" s="36">
        <v>94</v>
      </c>
      <c r="AB96" s="74" t="s">
        <v>132</v>
      </c>
      <c r="AC96" s="73" t="s">
        <v>336</v>
      </c>
    </row>
    <row r="97" spans="2:29" ht="14" customHeight="1" x14ac:dyDescent="0.15">
      <c r="B97" s="72"/>
      <c r="C97" s="4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73" t="s">
        <v>337</v>
      </c>
      <c r="AA97" s="36">
        <v>95</v>
      </c>
      <c r="AB97" s="74" t="s">
        <v>133</v>
      </c>
      <c r="AC97" s="73" t="s">
        <v>338</v>
      </c>
    </row>
    <row r="98" spans="2:29" ht="14" customHeight="1" x14ac:dyDescent="0.15">
      <c r="B98" s="72"/>
      <c r="C98" s="4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73" t="s">
        <v>337</v>
      </c>
      <c r="AA98" s="36">
        <v>96</v>
      </c>
      <c r="AB98" s="74" t="s">
        <v>134</v>
      </c>
      <c r="AC98" s="73" t="s">
        <v>339</v>
      </c>
    </row>
    <row r="99" spans="2:29" ht="14" customHeight="1" x14ac:dyDescent="0.15">
      <c r="B99" s="72"/>
      <c r="C99" s="4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73" t="s">
        <v>337</v>
      </c>
      <c r="AA99" s="36">
        <v>97</v>
      </c>
      <c r="AB99" s="74" t="s">
        <v>138</v>
      </c>
      <c r="AC99" s="73" t="s">
        <v>340</v>
      </c>
    </row>
    <row r="100" spans="2:29" ht="14" customHeight="1" x14ac:dyDescent="0.15">
      <c r="B100" s="72"/>
      <c r="C100" s="4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73" t="s">
        <v>337</v>
      </c>
      <c r="AA100" s="36">
        <v>98</v>
      </c>
      <c r="AB100" s="74" t="s">
        <v>139</v>
      </c>
      <c r="AC100" s="73" t="s">
        <v>341</v>
      </c>
    </row>
    <row r="101" spans="2:29" ht="14" customHeight="1" x14ac:dyDescent="0.15">
      <c r="B101" s="72"/>
      <c r="C101" s="4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73" t="s">
        <v>342</v>
      </c>
      <c r="AA101" s="36">
        <v>99</v>
      </c>
      <c r="AB101" s="74" t="s">
        <v>343</v>
      </c>
      <c r="AC101" s="73" t="s">
        <v>344</v>
      </c>
    </row>
    <row r="102" spans="2:29" ht="14" customHeight="1" x14ac:dyDescent="0.15">
      <c r="B102" s="72"/>
      <c r="C102" s="4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73" t="s">
        <v>342</v>
      </c>
      <c r="AA102" s="36">
        <v>100</v>
      </c>
      <c r="AB102" s="74" t="s">
        <v>345</v>
      </c>
      <c r="AC102" s="73" t="s">
        <v>346</v>
      </c>
    </row>
    <row r="103" spans="2:29" ht="14" customHeight="1" x14ac:dyDescent="0.15">
      <c r="B103" s="72"/>
      <c r="C103" s="4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73" t="s">
        <v>342</v>
      </c>
      <c r="AA103" s="36">
        <v>101</v>
      </c>
      <c r="AB103" s="74" t="s">
        <v>347</v>
      </c>
      <c r="AC103" s="73" t="s">
        <v>348</v>
      </c>
    </row>
    <row r="104" spans="2:29" ht="14" customHeight="1" x14ac:dyDescent="0.15">
      <c r="B104" s="72"/>
      <c r="C104" s="4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73" t="s">
        <v>342</v>
      </c>
      <c r="AA104" s="36">
        <v>102</v>
      </c>
      <c r="AB104" s="74" t="s">
        <v>349</v>
      </c>
      <c r="AC104" s="73" t="s">
        <v>350</v>
      </c>
    </row>
    <row r="105" spans="2:29" ht="14" customHeight="1" x14ac:dyDescent="0.15">
      <c r="B105" s="72"/>
      <c r="C105" s="4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73" t="s">
        <v>342</v>
      </c>
      <c r="AA105" s="36">
        <v>103</v>
      </c>
      <c r="AB105" s="74" t="s">
        <v>153</v>
      </c>
      <c r="AC105" s="73" t="s">
        <v>351</v>
      </c>
    </row>
    <row r="106" spans="2:29" ht="14" customHeight="1" x14ac:dyDescent="0.15">
      <c r="B106" s="72"/>
      <c r="C106" s="4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73" t="s">
        <v>342</v>
      </c>
      <c r="AA106" s="36">
        <v>104</v>
      </c>
      <c r="AB106" s="74" t="s">
        <v>154</v>
      </c>
      <c r="AC106" s="73" t="s">
        <v>352</v>
      </c>
    </row>
    <row r="107" spans="2:29" ht="14" customHeight="1" x14ac:dyDescent="0.15">
      <c r="B107" s="72"/>
      <c r="C107" s="4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73" t="s">
        <v>342</v>
      </c>
      <c r="AA107" s="36">
        <v>105</v>
      </c>
      <c r="AB107" s="74" t="s">
        <v>150</v>
      </c>
      <c r="AC107" s="73" t="s">
        <v>353</v>
      </c>
    </row>
    <row r="108" spans="2:29" ht="14" customHeight="1" x14ac:dyDescent="0.15">
      <c r="B108" s="72"/>
      <c r="C108" s="4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73" t="s">
        <v>342</v>
      </c>
      <c r="AA108" s="36">
        <v>106</v>
      </c>
      <c r="AB108" s="74" t="s">
        <v>151</v>
      </c>
      <c r="AC108" s="73" t="s">
        <v>354</v>
      </c>
    </row>
    <row r="109" spans="2:29" ht="14" customHeight="1" x14ac:dyDescent="0.15">
      <c r="B109" s="72"/>
      <c r="C109" s="4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73" t="s">
        <v>355</v>
      </c>
      <c r="AA109" s="36">
        <v>107</v>
      </c>
      <c r="AB109" s="74" t="s">
        <v>356</v>
      </c>
      <c r="AC109" s="73" t="s">
        <v>357</v>
      </c>
    </row>
    <row r="110" spans="2:29" ht="14" customHeight="1" x14ac:dyDescent="0.15">
      <c r="B110" s="72"/>
      <c r="C110" s="4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73" t="s">
        <v>355</v>
      </c>
      <c r="AA110" s="36">
        <v>108</v>
      </c>
      <c r="AB110" s="74" t="s">
        <v>358</v>
      </c>
      <c r="AC110" s="73" t="s">
        <v>359</v>
      </c>
    </row>
    <row r="111" spans="2:29" ht="14" customHeight="1" x14ac:dyDescent="0.15">
      <c r="B111" s="72"/>
      <c r="C111" s="4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73" t="s">
        <v>355</v>
      </c>
      <c r="AA111" s="36">
        <v>109</v>
      </c>
      <c r="AB111" s="74" t="s">
        <v>156</v>
      </c>
      <c r="AC111" s="73" t="s">
        <v>360</v>
      </c>
    </row>
    <row r="112" spans="2:29" ht="14" customHeight="1" x14ac:dyDescent="0.15">
      <c r="B112" s="72"/>
      <c r="C112" s="4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73" t="s">
        <v>355</v>
      </c>
      <c r="AA112" s="36">
        <v>110</v>
      </c>
      <c r="AB112" s="74" t="s">
        <v>157</v>
      </c>
      <c r="AC112" s="73" t="s">
        <v>361</v>
      </c>
    </row>
    <row r="113" spans="2:29" ht="14" customHeight="1" x14ac:dyDescent="0.15">
      <c r="B113" s="72"/>
      <c r="C113" s="4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73" t="s">
        <v>355</v>
      </c>
      <c r="AA113" s="36">
        <v>111</v>
      </c>
      <c r="AB113" s="74" t="s">
        <v>362</v>
      </c>
      <c r="AC113" s="73" t="s">
        <v>363</v>
      </c>
    </row>
    <row r="114" spans="2:29" ht="14" customHeight="1" x14ac:dyDescent="0.15">
      <c r="B114" s="72"/>
      <c r="C114" s="4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73" t="s">
        <v>355</v>
      </c>
      <c r="AA114" s="36">
        <v>112</v>
      </c>
      <c r="AB114" s="74" t="s">
        <v>364</v>
      </c>
      <c r="AC114" s="73" t="s">
        <v>365</v>
      </c>
    </row>
    <row r="115" spans="2:29" ht="14" customHeight="1" x14ac:dyDescent="0.15">
      <c r="B115" s="72"/>
      <c r="C115" s="4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73" t="s">
        <v>366</v>
      </c>
      <c r="AA115" s="36">
        <v>113</v>
      </c>
      <c r="AB115" s="74" t="s">
        <v>367</v>
      </c>
      <c r="AC115" s="73" t="s">
        <v>368</v>
      </c>
    </row>
    <row r="116" spans="2:29" ht="14" customHeight="1" x14ac:dyDescent="0.15">
      <c r="B116" s="72"/>
      <c r="C116" s="4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73" t="s">
        <v>366</v>
      </c>
      <c r="AA116" s="36">
        <v>114</v>
      </c>
      <c r="AB116" s="74" t="s">
        <v>369</v>
      </c>
      <c r="AC116" s="73" t="s">
        <v>370</v>
      </c>
    </row>
    <row r="117" spans="2:29" ht="14" customHeight="1" x14ac:dyDescent="0.15">
      <c r="B117" s="72"/>
      <c r="C117" s="4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73" t="s">
        <v>366</v>
      </c>
      <c r="AA117" s="36">
        <v>115</v>
      </c>
      <c r="AB117" s="74" t="s">
        <v>371</v>
      </c>
      <c r="AC117" s="73" t="s">
        <v>372</v>
      </c>
    </row>
    <row r="118" spans="2:29" ht="14" customHeight="1" x14ac:dyDescent="0.15">
      <c r="B118" s="72"/>
      <c r="C118" s="4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73" t="s">
        <v>366</v>
      </c>
      <c r="AA118" s="36">
        <v>116</v>
      </c>
      <c r="AB118" s="74" t="s">
        <v>373</v>
      </c>
      <c r="AC118" s="73" t="s">
        <v>374</v>
      </c>
    </row>
    <row r="119" spans="2:29" ht="14" customHeight="1" x14ac:dyDescent="0.15">
      <c r="B119" s="72"/>
      <c r="C119" s="4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73" t="s">
        <v>366</v>
      </c>
      <c r="AA119" s="36">
        <v>117</v>
      </c>
      <c r="AB119" s="74" t="s">
        <v>163</v>
      </c>
      <c r="AC119" s="73" t="s">
        <v>375</v>
      </c>
    </row>
    <row r="120" spans="2:29" ht="14" customHeight="1" x14ac:dyDescent="0.15">
      <c r="B120" s="72"/>
      <c r="C120" s="4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73" t="s">
        <v>366</v>
      </c>
      <c r="AA120" s="36">
        <v>118</v>
      </c>
      <c r="AB120" s="74" t="s">
        <v>164</v>
      </c>
      <c r="AC120" s="73" t="s">
        <v>376</v>
      </c>
    </row>
    <row r="121" spans="2:29" ht="14" customHeight="1" x14ac:dyDescent="0.15">
      <c r="B121" s="72"/>
      <c r="C121" s="4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73" t="s">
        <v>366</v>
      </c>
      <c r="AA121" s="36">
        <v>119</v>
      </c>
      <c r="AB121" s="74" t="s">
        <v>377</v>
      </c>
      <c r="AC121" s="73" t="s">
        <v>378</v>
      </c>
    </row>
    <row r="122" spans="2:29" ht="14" customHeight="1" x14ac:dyDescent="0.15">
      <c r="B122" s="72"/>
      <c r="C122" s="4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73" t="s">
        <v>366</v>
      </c>
      <c r="AA122" s="36">
        <v>120</v>
      </c>
      <c r="AB122" s="74" t="s">
        <v>379</v>
      </c>
      <c r="AC122" s="73" t="s">
        <v>380</v>
      </c>
    </row>
    <row r="123" spans="2:29" ht="14" customHeight="1" x14ac:dyDescent="0.15">
      <c r="B123" s="72"/>
      <c r="C123" s="4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73" t="s">
        <v>366</v>
      </c>
      <c r="AA123" s="36">
        <v>121</v>
      </c>
      <c r="AB123" s="74" t="s">
        <v>381</v>
      </c>
      <c r="AC123" s="73" t="s">
        <v>382</v>
      </c>
    </row>
    <row r="124" spans="2:29" ht="14" customHeight="1" x14ac:dyDescent="0.15">
      <c r="B124" s="72"/>
      <c r="C124" s="4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73" t="s">
        <v>383</v>
      </c>
      <c r="AA124" s="36">
        <v>122</v>
      </c>
      <c r="AB124" s="74" t="s">
        <v>384</v>
      </c>
      <c r="AC124" s="73" t="s">
        <v>385</v>
      </c>
    </row>
    <row r="125" spans="2:29" ht="14" customHeight="1" x14ac:dyDescent="0.15">
      <c r="B125" s="72"/>
      <c r="C125" s="4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73" t="s">
        <v>383</v>
      </c>
      <c r="AA125" s="36">
        <v>123</v>
      </c>
      <c r="AB125" s="74" t="s">
        <v>386</v>
      </c>
      <c r="AC125" s="73" t="s">
        <v>387</v>
      </c>
    </row>
    <row r="126" spans="2:29" ht="14" customHeight="1" x14ac:dyDescent="0.15">
      <c r="B126" s="72"/>
      <c r="C126" s="4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73" t="s">
        <v>388</v>
      </c>
      <c r="AA126" s="36">
        <v>124</v>
      </c>
      <c r="AB126" s="74" t="s">
        <v>389</v>
      </c>
      <c r="AC126" s="73" t="s">
        <v>390</v>
      </c>
    </row>
    <row r="127" spans="2:29" ht="14" customHeight="1" x14ac:dyDescent="0.15">
      <c r="B127" s="72"/>
      <c r="C127" s="4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73" t="s">
        <v>388</v>
      </c>
      <c r="AA127" s="36">
        <v>125</v>
      </c>
      <c r="AB127" s="74" t="s">
        <v>171</v>
      </c>
      <c r="AC127" s="73" t="s">
        <v>391</v>
      </c>
    </row>
    <row r="128" spans="2:29" ht="14" customHeight="1" x14ac:dyDescent="0.15">
      <c r="B128" s="72"/>
      <c r="C128" s="4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73" t="s">
        <v>388</v>
      </c>
      <c r="AA128" s="36">
        <v>126</v>
      </c>
      <c r="AB128" s="74" t="s">
        <v>392</v>
      </c>
      <c r="AC128" s="73" t="s">
        <v>393</v>
      </c>
    </row>
    <row r="129" spans="2:29" ht="14" customHeight="1" x14ac:dyDescent="0.15">
      <c r="B129" s="72"/>
      <c r="C129" s="4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73" t="s">
        <v>388</v>
      </c>
      <c r="AA129" s="36">
        <v>127</v>
      </c>
      <c r="AB129" s="74" t="s">
        <v>394</v>
      </c>
      <c r="AC129" s="73" t="s">
        <v>395</v>
      </c>
    </row>
    <row r="130" spans="2:29" ht="14" customHeight="1" x14ac:dyDescent="0.15">
      <c r="B130" s="72"/>
      <c r="C130" s="4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73" t="s">
        <v>388</v>
      </c>
      <c r="AA130" s="36">
        <v>128</v>
      </c>
      <c r="AB130" s="74" t="s">
        <v>396</v>
      </c>
      <c r="AC130" s="73" t="s">
        <v>397</v>
      </c>
    </row>
    <row r="131" spans="2:29" ht="14" customHeight="1" x14ac:dyDescent="0.15">
      <c r="B131" s="72"/>
      <c r="C131" s="4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74"/>
      <c r="AC131" s="36"/>
    </row>
    <row r="132" spans="2:29" ht="14" customHeight="1" x14ac:dyDescent="0.15">
      <c r="B132" s="72"/>
      <c r="C132" s="4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74"/>
      <c r="AC132" s="36"/>
    </row>
    <row r="133" spans="2:29" ht="14" customHeight="1" x14ac:dyDescent="0.15">
      <c r="B133" s="72"/>
      <c r="C133" s="4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74"/>
      <c r="AC133" s="36"/>
    </row>
    <row r="134" spans="2:29" ht="14" customHeight="1" x14ac:dyDescent="0.15">
      <c r="B134" s="72"/>
      <c r="C134" s="4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74"/>
      <c r="AC134" s="36"/>
    </row>
    <row r="135" spans="2:29" ht="14" customHeight="1" x14ac:dyDescent="0.15">
      <c r="B135" s="72"/>
      <c r="C135" s="4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74"/>
      <c r="AC135" s="36"/>
    </row>
    <row r="136" spans="2:29" ht="14" customHeight="1" x14ac:dyDescent="0.15">
      <c r="B136" s="72"/>
      <c r="C136" s="4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74"/>
      <c r="AC136" s="36"/>
    </row>
    <row r="137" spans="2:29" ht="14" customHeight="1" x14ac:dyDescent="0.15">
      <c r="B137" s="72"/>
      <c r="C137" s="4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74"/>
      <c r="AC137" s="36"/>
    </row>
    <row r="138" spans="2:29" ht="14" customHeight="1" x14ac:dyDescent="0.15">
      <c r="B138" s="72"/>
      <c r="C138" s="4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74"/>
      <c r="AC138" s="36"/>
    </row>
    <row r="139" spans="2:29" ht="14" customHeight="1" x14ac:dyDescent="0.15">
      <c r="B139" s="72"/>
      <c r="C139" s="4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74"/>
      <c r="AC139" s="36"/>
    </row>
    <row r="140" spans="2:29" ht="14" customHeight="1" x14ac:dyDescent="0.15">
      <c r="B140" s="72"/>
      <c r="C140" s="4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74"/>
      <c r="AC140" s="36"/>
    </row>
    <row r="141" spans="2:29" ht="14" customHeight="1" x14ac:dyDescent="0.15">
      <c r="B141" s="72"/>
      <c r="C141" s="4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74"/>
      <c r="AC141" s="36"/>
    </row>
    <row r="142" spans="2:29" ht="14" customHeight="1" x14ac:dyDescent="0.15">
      <c r="B142" s="72"/>
      <c r="C142" s="4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74"/>
      <c r="AC142" s="36"/>
    </row>
    <row r="143" spans="2:29" ht="14" customHeight="1" x14ac:dyDescent="0.15">
      <c r="B143" s="72"/>
      <c r="C143" s="4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74"/>
      <c r="AC143" s="36"/>
    </row>
    <row r="144" spans="2:29" ht="14" customHeight="1" x14ac:dyDescent="0.15">
      <c r="B144" s="72"/>
      <c r="C144" s="4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74"/>
      <c r="AC144" s="36"/>
    </row>
    <row r="145" spans="2:3" ht="14" customHeight="1" x14ac:dyDescent="0.15">
      <c r="B145" s="72"/>
      <c r="C145" s="48"/>
    </row>
    <row r="146" spans="2:3" ht="14" customHeight="1" x14ac:dyDescent="0.15">
      <c r="B146" s="72"/>
      <c r="C146" s="48"/>
    </row>
    <row r="147" spans="2:3" ht="14" customHeight="1" x14ac:dyDescent="0.15">
      <c r="B147" s="72"/>
      <c r="C147" s="48"/>
    </row>
    <row r="148" spans="2:3" ht="14" customHeight="1" x14ac:dyDescent="0.15">
      <c r="B148" s="72"/>
      <c r="C148" s="48"/>
    </row>
    <row r="149" spans="2:3" ht="14" customHeight="1" x14ac:dyDescent="0.15">
      <c r="B149" s="72"/>
      <c r="C149" s="48"/>
    </row>
    <row r="150" spans="2:3" ht="14" customHeight="1" x14ac:dyDescent="0.15">
      <c r="B150" s="72"/>
      <c r="C150" s="48"/>
    </row>
    <row r="151" spans="2:3" ht="14" customHeight="1" x14ac:dyDescent="0.15">
      <c r="B151" s="72"/>
      <c r="C151" s="48"/>
    </row>
    <row r="152" spans="2:3" ht="14" customHeight="1" x14ac:dyDescent="0.15">
      <c r="B152" s="72"/>
      <c r="C152" s="48"/>
    </row>
    <row r="153" spans="2:3" ht="14" customHeight="1" x14ac:dyDescent="0.15">
      <c r="B153" s="72"/>
      <c r="C153" s="48"/>
    </row>
    <row r="154" spans="2:3" ht="14" customHeight="1" x14ac:dyDescent="0.15">
      <c r="B154" s="72"/>
      <c r="C154" s="48"/>
    </row>
    <row r="155" spans="2:3" ht="14" customHeight="1" x14ac:dyDescent="0.15">
      <c r="B155" s="72"/>
      <c r="C155" s="48"/>
    </row>
    <row r="156" spans="2:3" ht="14" customHeight="1" x14ac:dyDescent="0.15">
      <c r="B156" s="72"/>
      <c r="C156" s="48"/>
    </row>
    <row r="157" spans="2:3" ht="14" customHeight="1" x14ac:dyDescent="0.15">
      <c r="B157" s="72"/>
      <c r="C157" s="48"/>
    </row>
    <row r="158" spans="2:3" ht="14" customHeight="1" x14ac:dyDescent="0.15">
      <c r="B158" s="72"/>
      <c r="C158" s="48"/>
    </row>
    <row r="159" spans="2:3" ht="14" customHeight="1" x14ac:dyDescent="0.15">
      <c r="B159" s="72"/>
      <c r="C159" s="48"/>
    </row>
    <row r="160" spans="2:3" ht="14" customHeight="1" x14ac:dyDescent="0.15">
      <c r="B160" s="72"/>
      <c r="C160" s="48"/>
    </row>
    <row r="161" spans="2:3" ht="14" customHeight="1" x14ac:dyDescent="0.15">
      <c r="B161" s="72"/>
      <c r="C161" s="48"/>
    </row>
    <row r="162" spans="2:3" ht="14" customHeight="1" x14ac:dyDescent="0.15">
      <c r="B162" s="72"/>
      <c r="C162" s="48"/>
    </row>
    <row r="163" spans="2:3" ht="14" customHeight="1" x14ac:dyDescent="0.15">
      <c r="B163" s="72"/>
      <c r="C163" s="48"/>
    </row>
    <row r="164" spans="2:3" ht="14" customHeight="1" x14ac:dyDescent="0.15">
      <c r="B164" s="72"/>
      <c r="C164" s="48"/>
    </row>
    <row r="165" spans="2:3" ht="14" customHeight="1" x14ac:dyDescent="0.15">
      <c r="B165" s="72"/>
      <c r="C165" s="48"/>
    </row>
    <row r="166" spans="2:3" ht="14" customHeight="1" x14ac:dyDescent="0.15">
      <c r="B166" s="72"/>
      <c r="C166" s="48"/>
    </row>
    <row r="167" spans="2:3" ht="14" customHeight="1" x14ac:dyDescent="0.15">
      <c r="B167" s="72"/>
      <c r="C167" s="48"/>
    </row>
    <row r="168" spans="2:3" ht="14" customHeight="1" x14ac:dyDescent="0.15">
      <c r="B168" s="72"/>
      <c r="C168" s="48"/>
    </row>
    <row r="169" spans="2:3" ht="14" customHeight="1" x14ac:dyDescent="0.15">
      <c r="B169" s="72"/>
      <c r="C169" s="48"/>
    </row>
    <row r="170" spans="2:3" ht="14" customHeight="1" x14ac:dyDescent="0.15">
      <c r="B170" s="72"/>
      <c r="C170" s="48"/>
    </row>
    <row r="171" spans="2:3" ht="14" customHeight="1" x14ac:dyDescent="0.15">
      <c r="B171" s="72"/>
      <c r="C171" s="48"/>
    </row>
    <row r="172" spans="2:3" ht="14" customHeight="1" x14ac:dyDescent="0.15">
      <c r="B172" s="72"/>
      <c r="C172" s="48"/>
    </row>
    <row r="173" spans="2:3" ht="14" customHeight="1" x14ac:dyDescent="0.15">
      <c r="B173" s="72"/>
      <c r="C173" s="48"/>
    </row>
    <row r="174" spans="2:3" ht="14" customHeight="1" x14ac:dyDescent="0.15">
      <c r="B174" s="72"/>
      <c r="C174" s="48"/>
    </row>
    <row r="175" spans="2:3" ht="14" customHeight="1" x14ac:dyDescent="0.15">
      <c r="B175" s="72"/>
      <c r="C175" s="48"/>
    </row>
    <row r="176" spans="2:3" ht="14" customHeight="1" x14ac:dyDescent="0.15">
      <c r="B176" s="72"/>
      <c r="C176" s="48"/>
    </row>
    <row r="177" spans="2:3" ht="14" customHeight="1" x14ac:dyDescent="0.15">
      <c r="B177" s="72"/>
      <c r="C177" s="48"/>
    </row>
    <row r="178" spans="2:3" ht="14" customHeight="1" x14ac:dyDescent="0.15">
      <c r="B178" s="72"/>
      <c r="C178" s="48"/>
    </row>
    <row r="179" spans="2:3" ht="14" customHeight="1" x14ac:dyDescent="0.15">
      <c r="B179" s="72"/>
      <c r="C179" s="48"/>
    </row>
    <row r="180" spans="2:3" ht="14" customHeight="1" x14ac:dyDescent="0.15">
      <c r="B180" s="72"/>
      <c r="C180" s="48"/>
    </row>
    <row r="181" spans="2:3" ht="14" customHeight="1" x14ac:dyDescent="0.15">
      <c r="B181" s="72"/>
      <c r="C181" s="48"/>
    </row>
    <row r="182" spans="2:3" ht="14" customHeight="1" x14ac:dyDescent="0.15">
      <c r="B182" s="72"/>
      <c r="C182" s="48"/>
    </row>
    <row r="183" spans="2:3" ht="14" customHeight="1" x14ac:dyDescent="0.15">
      <c r="B183" s="72"/>
      <c r="C183" s="48"/>
    </row>
    <row r="184" spans="2:3" ht="14" customHeight="1" x14ac:dyDescent="0.15">
      <c r="B184" s="72"/>
      <c r="C184" s="48"/>
    </row>
    <row r="185" spans="2:3" ht="14" customHeight="1" x14ac:dyDescent="0.15">
      <c r="B185" s="72"/>
      <c r="C185" s="48"/>
    </row>
    <row r="186" spans="2:3" ht="14" customHeight="1" x14ac:dyDescent="0.15">
      <c r="B186" s="72"/>
      <c r="C186" s="48"/>
    </row>
    <row r="187" spans="2:3" ht="14" customHeight="1" x14ac:dyDescent="0.15">
      <c r="B187" s="72"/>
      <c r="C187" s="48"/>
    </row>
    <row r="188" spans="2:3" ht="14" customHeight="1" x14ac:dyDescent="0.15">
      <c r="B188" s="72"/>
      <c r="C188" s="48"/>
    </row>
    <row r="189" spans="2:3" ht="14" customHeight="1" x14ac:dyDescent="0.15">
      <c r="B189" s="72"/>
      <c r="C189" s="48"/>
    </row>
    <row r="190" spans="2:3" ht="14" customHeight="1" x14ac:dyDescent="0.15">
      <c r="B190" s="72"/>
      <c r="C190" s="48"/>
    </row>
    <row r="191" spans="2:3" ht="14" customHeight="1" x14ac:dyDescent="0.15">
      <c r="B191" s="72"/>
      <c r="C191" s="48"/>
    </row>
    <row r="192" spans="2:3" ht="14" customHeight="1" x14ac:dyDescent="0.15">
      <c r="B192" s="72"/>
      <c r="C192" s="48"/>
    </row>
    <row r="193" spans="2:3" ht="14" customHeight="1" x14ac:dyDescent="0.15">
      <c r="B193" s="72"/>
      <c r="C193" s="48"/>
    </row>
    <row r="194" spans="2:3" ht="14" customHeight="1" x14ac:dyDescent="0.15">
      <c r="B194" s="72"/>
      <c r="C194" s="48"/>
    </row>
    <row r="195" spans="2:3" ht="14" customHeight="1" x14ac:dyDescent="0.15">
      <c r="B195" s="72"/>
      <c r="C195" s="48"/>
    </row>
    <row r="196" spans="2:3" ht="14" customHeight="1" x14ac:dyDescent="0.15">
      <c r="B196" s="72"/>
      <c r="C196" s="48"/>
    </row>
    <row r="197" spans="2:3" ht="14" customHeight="1" x14ac:dyDescent="0.15">
      <c r="B197" s="72"/>
      <c r="C197" s="48"/>
    </row>
    <row r="198" spans="2:3" ht="14" customHeight="1" x14ac:dyDescent="0.15">
      <c r="B198" s="72"/>
      <c r="C198" s="48"/>
    </row>
    <row r="199" spans="2:3" ht="14" customHeight="1" x14ac:dyDescent="0.15">
      <c r="B199" s="72"/>
      <c r="C199" s="48"/>
    </row>
    <row r="200" spans="2:3" ht="14" customHeight="1" x14ac:dyDescent="0.15">
      <c r="B200" s="72"/>
      <c r="C200" s="48"/>
    </row>
    <row r="201" spans="2:3" ht="14" customHeight="1" x14ac:dyDescent="0.15">
      <c r="B201" s="72"/>
      <c r="C201" s="48"/>
    </row>
    <row r="202" spans="2:3" ht="14" customHeight="1" x14ac:dyDescent="0.15">
      <c r="B202" s="72"/>
      <c r="C202" s="48"/>
    </row>
    <row r="203" spans="2:3" ht="14" customHeight="1" x14ac:dyDescent="0.15">
      <c r="B203" s="72"/>
      <c r="C203" s="48"/>
    </row>
    <row r="204" spans="2:3" ht="14" customHeight="1" x14ac:dyDescent="0.15">
      <c r="B204" s="72"/>
      <c r="C204" s="48"/>
    </row>
    <row r="205" spans="2:3" ht="14" customHeight="1" x14ac:dyDescent="0.15">
      <c r="B205" s="72"/>
      <c r="C205" s="48"/>
    </row>
    <row r="206" spans="2:3" ht="14" customHeight="1" x14ac:dyDescent="0.15">
      <c r="B206" s="72"/>
      <c r="C206" s="48"/>
    </row>
    <row r="207" spans="2:3" ht="14" customHeight="1" x14ac:dyDescent="0.15">
      <c r="B207" s="72"/>
      <c r="C207" s="48"/>
    </row>
    <row r="208" spans="2:3" ht="14" customHeight="1" x14ac:dyDescent="0.15">
      <c r="B208" s="72"/>
      <c r="C208" s="48"/>
    </row>
    <row r="209" spans="2:3" ht="14" customHeight="1" x14ac:dyDescent="0.15">
      <c r="B209" s="72"/>
      <c r="C209" s="48"/>
    </row>
    <row r="210" spans="2:3" ht="14" customHeight="1" x14ac:dyDescent="0.15">
      <c r="B210" s="72"/>
      <c r="C210" s="48"/>
    </row>
    <row r="211" spans="2:3" ht="14" customHeight="1" x14ac:dyDescent="0.15">
      <c r="B211" s="72"/>
      <c r="C211" s="48"/>
    </row>
    <row r="212" spans="2:3" ht="14" customHeight="1" x14ac:dyDescent="0.15">
      <c r="B212" s="72"/>
      <c r="C212" s="48"/>
    </row>
    <row r="213" spans="2:3" ht="14" customHeight="1" x14ac:dyDescent="0.15">
      <c r="B213" s="72"/>
      <c r="C213" s="48"/>
    </row>
    <row r="214" spans="2:3" ht="14" customHeight="1" x14ac:dyDescent="0.15">
      <c r="B214" s="72"/>
      <c r="C214" s="48"/>
    </row>
    <row r="215" spans="2:3" ht="14" customHeight="1" x14ac:dyDescent="0.15">
      <c r="B215" s="72"/>
      <c r="C215" s="48"/>
    </row>
    <row r="216" spans="2:3" ht="14" customHeight="1" x14ac:dyDescent="0.15">
      <c r="B216" s="72"/>
      <c r="C216" s="48"/>
    </row>
    <row r="217" spans="2:3" ht="14" customHeight="1" x14ac:dyDescent="0.15">
      <c r="B217" s="72"/>
      <c r="C217" s="48"/>
    </row>
    <row r="218" spans="2:3" ht="14" customHeight="1" x14ac:dyDescent="0.15">
      <c r="B218" s="72"/>
      <c r="C218" s="48"/>
    </row>
    <row r="219" spans="2:3" ht="14" customHeight="1" x14ac:dyDescent="0.15">
      <c r="B219" s="72"/>
      <c r="C219" s="48"/>
    </row>
    <row r="220" spans="2:3" ht="14" customHeight="1" x14ac:dyDescent="0.15">
      <c r="B220" s="72"/>
      <c r="C220" s="48"/>
    </row>
    <row r="221" spans="2:3" ht="14" customHeight="1" x14ac:dyDescent="0.15">
      <c r="B221" s="72"/>
      <c r="C221" s="48"/>
    </row>
    <row r="222" spans="2:3" ht="14" customHeight="1" x14ac:dyDescent="0.15">
      <c r="B222" s="72"/>
      <c r="C222" s="48"/>
    </row>
    <row r="223" spans="2:3" ht="14" customHeight="1" x14ac:dyDescent="0.15">
      <c r="B223" s="72"/>
      <c r="C223" s="48"/>
    </row>
    <row r="224" spans="2:3" ht="14" customHeight="1" x14ac:dyDescent="0.15">
      <c r="B224" s="72"/>
      <c r="C224" s="48"/>
    </row>
    <row r="225" spans="2:3" ht="14" customHeight="1" x14ac:dyDescent="0.15">
      <c r="B225" s="72"/>
      <c r="C225" s="48"/>
    </row>
    <row r="226" spans="2:3" ht="14" customHeight="1" x14ac:dyDescent="0.15">
      <c r="B226" s="72"/>
      <c r="C226" s="48"/>
    </row>
    <row r="227" spans="2:3" ht="14" customHeight="1" x14ac:dyDescent="0.15">
      <c r="B227" s="72"/>
      <c r="C227" s="48"/>
    </row>
    <row r="228" spans="2:3" ht="14" customHeight="1" x14ac:dyDescent="0.15">
      <c r="B228" s="72"/>
      <c r="C228" s="48"/>
    </row>
    <row r="229" spans="2:3" ht="14" customHeight="1" x14ac:dyDescent="0.15">
      <c r="B229" s="72"/>
      <c r="C229" s="48"/>
    </row>
    <row r="230" spans="2:3" ht="14" customHeight="1" x14ac:dyDescent="0.15">
      <c r="B230" s="72"/>
      <c r="C230" s="48"/>
    </row>
    <row r="231" spans="2:3" ht="14" customHeight="1" x14ac:dyDescent="0.15">
      <c r="B231" s="72"/>
      <c r="C231" s="48"/>
    </row>
    <row r="232" spans="2:3" ht="14" customHeight="1" x14ac:dyDescent="0.15">
      <c r="B232" s="72"/>
      <c r="C232" s="48"/>
    </row>
    <row r="233" spans="2:3" ht="14" customHeight="1" x14ac:dyDescent="0.15">
      <c r="B233" s="72"/>
      <c r="C233" s="48"/>
    </row>
    <row r="234" spans="2:3" ht="14" customHeight="1" x14ac:dyDescent="0.15">
      <c r="B234" s="72"/>
      <c r="C234" s="48"/>
    </row>
    <row r="235" spans="2:3" ht="14" customHeight="1" x14ac:dyDescent="0.15">
      <c r="B235" s="72"/>
      <c r="C235" s="48"/>
    </row>
    <row r="236" spans="2:3" ht="14" customHeight="1" x14ac:dyDescent="0.15">
      <c r="B236" s="72"/>
      <c r="C236" s="48"/>
    </row>
    <row r="237" spans="2:3" ht="14" customHeight="1" x14ac:dyDescent="0.15">
      <c r="B237" s="72"/>
      <c r="C237" s="48"/>
    </row>
    <row r="238" spans="2:3" ht="14" customHeight="1" x14ac:dyDescent="0.15">
      <c r="B238" s="72"/>
      <c r="C238" s="48"/>
    </row>
    <row r="239" spans="2:3" ht="14" customHeight="1" x14ac:dyDescent="0.15">
      <c r="B239" s="72"/>
      <c r="C239" s="48"/>
    </row>
    <row r="240" spans="2:3" ht="14" customHeight="1" x14ac:dyDescent="0.15">
      <c r="B240" s="72"/>
      <c r="C240" s="48"/>
    </row>
    <row r="241" spans="2:3" ht="14" customHeight="1" x14ac:dyDescent="0.15">
      <c r="B241" s="72"/>
      <c r="C241" s="48"/>
    </row>
    <row r="242" spans="2:3" ht="14" customHeight="1" x14ac:dyDescent="0.15">
      <c r="B242" s="72"/>
      <c r="C242" s="48"/>
    </row>
    <row r="243" spans="2:3" ht="14" customHeight="1" x14ac:dyDescent="0.15">
      <c r="B243" s="72"/>
      <c r="C243" s="48"/>
    </row>
    <row r="244" spans="2:3" ht="14" customHeight="1" x14ac:dyDescent="0.15">
      <c r="B244" s="72"/>
      <c r="C244" s="48"/>
    </row>
    <row r="245" spans="2:3" ht="14" customHeight="1" x14ac:dyDescent="0.15">
      <c r="B245" s="72"/>
      <c r="C245" s="48"/>
    </row>
    <row r="246" spans="2:3" ht="14" customHeight="1" x14ac:dyDescent="0.15">
      <c r="B246" s="72"/>
      <c r="C246" s="48"/>
    </row>
    <row r="247" spans="2:3" ht="14" customHeight="1" x14ac:dyDescent="0.15">
      <c r="B247" s="72"/>
      <c r="C247" s="48"/>
    </row>
    <row r="248" spans="2:3" ht="14" customHeight="1" x14ac:dyDescent="0.15">
      <c r="B248" s="72"/>
      <c r="C248" s="48"/>
    </row>
    <row r="249" spans="2:3" ht="14" customHeight="1" x14ac:dyDescent="0.15">
      <c r="B249" s="72"/>
      <c r="C249" s="48"/>
    </row>
    <row r="250" spans="2:3" ht="14" customHeight="1" x14ac:dyDescent="0.15">
      <c r="B250" s="72"/>
      <c r="C250" s="48"/>
    </row>
    <row r="251" spans="2:3" ht="14" customHeight="1" x14ac:dyDescent="0.15">
      <c r="B251" s="72"/>
      <c r="C251" s="48"/>
    </row>
    <row r="252" spans="2:3" ht="14" customHeight="1" x14ac:dyDescent="0.15">
      <c r="B252" s="72"/>
      <c r="C252" s="48"/>
    </row>
    <row r="253" spans="2:3" ht="14" customHeight="1" x14ac:dyDescent="0.15">
      <c r="B253" s="72"/>
      <c r="C253" s="48"/>
    </row>
    <row r="254" spans="2:3" ht="14" customHeight="1" x14ac:dyDescent="0.15">
      <c r="B254" s="72"/>
      <c r="C254" s="48"/>
    </row>
    <row r="255" spans="2:3" ht="14" customHeight="1" x14ac:dyDescent="0.15">
      <c r="B255" s="72"/>
      <c r="C255" s="48"/>
    </row>
    <row r="256" spans="2:3" ht="14" customHeight="1" x14ac:dyDescent="0.15">
      <c r="B256" s="72"/>
      <c r="C256" s="48"/>
    </row>
    <row r="257" spans="2:3" ht="14" customHeight="1" x14ac:dyDescent="0.15">
      <c r="B257" s="72"/>
      <c r="C257" s="48"/>
    </row>
    <row r="258" spans="2:3" ht="14" customHeight="1" x14ac:dyDescent="0.15">
      <c r="B258" s="72"/>
      <c r="C258" s="48"/>
    </row>
    <row r="259" spans="2:3" ht="14" customHeight="1" x14ac:dyDescent="0.15">
      <c r="B259" s="72"/>
      <c r="C259" s="48"/>
    </row>
    <row r="260" spans="2:3" ht="14" customHeight="1" x14ac:dyDescent="0.15">
      <c r="B260" s="72"/>
      <c r="C260" s="48"/>
    </row>
    <row r="261" spans="2:3" ht="14" customHeight="1" x14ac:dyDescent="0.15">
      <c r="B261" s="72"/>
      <c r="C261" s="48"/>
    </row>
    <row r="262" spans="2:3" ht="14" customHeight="1" x14ac:dyDescent="0.15">
      <c r="B262" s="72"/>
      <c r="C262" s="48"/>
    </row>
    <row r="263" spans="2:3" ht="14" customHeight="1" x14ac:dyDescent="0.15">
      <c r="B263" s="72"/>
      <c r="C263" s="48"/>
    </row>
    <row r="264" spans="2:3" ht="14" customHeight="1" x14ac:dyDescent="0.15">
      <c r="B264" s="72"/>
      <c r="C264" s="48"/>
    </row>
    <row r="265" spans="2:3" ht="14" customHeight="1" x14ac:dyDescent="0.15">
      <c r="B265" s="72"/>
      <c r="C265" s="48"/>
    </row>
    <row r="266" spans="2:3" ht="14" customHeight="1" x14ac:dyDescent="0.15">
      <c r="B266" s="72"/>
      <c r="C266" s="48"/>
    </row>
    <row r="267" spans="2:3" ht="14" customHeight="1" x14ac:dyDescent="0.15">
      <c r="B267" s="72"/>
      <c r="C267" s="48"/>
    </row>
    <row r="268" spans="2:3" ht="14" customHeight="1" x14ac:dyDescent="0.15">
      <c r="B268" s="72"/>
      <c r="C268" s="48"/>
    </row>
    <row r="269" spans="2:3" ht="14" customHeight="1" x14ac:dyDescent="0.15">
      <c r="B269" s="72"/>
      <c r="C269" s="48"/>
    </row>
    <row r="270" spans="2:3" ht="14" customHeight="1" x14ac:dyDescent="0.15">
      <c r="B270" s="72"/>
      <c r="C270" s="48"/>
    </row>
    <row r="271" spans="2:3" ht="14" customHeight="1" x14ac:dyDescent="0.15">
      <c r="B271" s="72"/>
      <c r="C271" s="48"/>
    </row>
    <row r="272" spans="2:3" ht="14" customHeight="1" x14ac:dyDescent="0.15">
      <c r="B272" s="72"/>
      <c r="C272" s="48"/>
    </row>
    <row r="273" spans="2:3" ht="14" customHeight="1" x14ac:dyDescent="0.15">
      <c r="B273" s="72"/>
      <c r="C273" s="48"/>
    </row>
    <row r="274" spans="2:3" ht="14" customHeight="1" x14ac:dyDescent="0.15">
      <c r="B274" s="72"/>
      <c r="C274" s="48"/>
    </row>
    <row r="275" spans="2:3" ht="14" customHeight="1" x14ac:dyDescent="0.15">
      <c r="B275" s="72"/>
      <c r="C275" s="48"/>
    </row>
    <row r="276" spans="2:3" ht="14" customHeight="1" x14ac:dyDescent="0.15">
      <c r="B276" s="72"/>
      <c r="C276" s="48"/>
    </row>
    <row r="277" spans="2:3" ht="14" customHeight="1" x14ac:dyDescent="0.15">
      <c r="B277" s="72"/>
      <c r="C277" s="48"/>
    </row>
    <row r="278" spans="2:3" ht="14" customHeight="1" x14ac:dyDescent="0.15">
      <c r="B278" s="72"/>
      <c r="C278" s="48"/>
    </row>
    <row r="279" spans="2:3" ht="14" customHeight="1" x14ac:dyDescent="0.15">
      <c r="B279" s="72"/>
      <c r="C279" s="48"/>
    </row>
    <row r="280" spans="2:3" ht="14" customHeight="1" x14ac:dyDescent="0.15">
      <c r="B280" s="72"/>
      <c r="C280" s="48"/>
    </row>
    <row r="281" spans="2:3" ht="14" customHeight="1" x14ac:dyDescent="0.15">
      <c r="B281" s="72"/>
      <c r="C281" s="48"/>
    </row>
    <row r="282" spans="2:3" ht="14" customHeight="1" x14ac:dyDescent="0.15">
      <c r="B282" s="72"/>
      <c r="C282" s="48"/>
    </row>
    <row r="283" spans="2:3" ht="14" customHeight="1" x14ac:dyDescent="0.15">
      <c r="B283" s="72"/>
      <c r="C283" s="48"/>
    </row>
    <row r="284" spans="2:3" ht="14" customHeight="1" x14ac:dyDescent="0.15">
      <c r="B284" s="72"/>
      <c r="C284" s="48"/>
    </row>
    <row r="285" spans="2:3" ht="14" customHeight="1" x14ac:dyDescent="0.15">
      <c r="B285" s="72"/>
      <c r="C285" s="48"/>
    </row>
    <row r="286" spans="2:3" ht="14" customHeight="1" x14ac:dyDescent="0.15">
      <c r="B286" s="72"/>
      <c r="C286" s="48"/>
    </row>
    <row r="287" spans="2:3" ht="14" customHeight="1" x14ac:dyDescent="0.15">
      <c r="B287" s="72"/>
      <c r="C287" s="48"/>
    </row>
    <row r="288" spans="2:3" ht="14" customHeight="1" x14ac:dyDescent="0.15">
      <c r="B288" s="72"/>
      <c r="C288" s="48"/>
    </row>
    <row r="289" spans="2:3" ht="14" customHeight="1" x14ac:dyDescent="0.15">
      <c r="B289" s="72"/>
      <c r="C289" s="48"/>
    </row>
    <row r="290" spans="2:3" ht="14" customHeight="1" x14ac:dyDescent="0.15">
      <c r="B290" s="72"/>
      <c r="C290" s="48"/>
    </row>
    <row r="291" spans="2:3" ht="14" customHeight="1" x14ac:dyDescent="0.15">
      <c r="B291" s="72"/>
      <c r="C291" s="48"/>
    </row>
    <row r="292" spans="2:3" ht="14" customHeight="1" x14ac:dyDescent="0.15">
      <c r="B292" s="72"/>
      <c r="C292" s="48"/>
    </row>
    <row r="293" spans="2:3" ht="14" customHeight="1" x14ac:dyDescent="0.15">
      <c r="B293" s="72"/>
      <c r="C293" s="48"/>
    </row>
    <row r="294" spans="2:3" ht="14" customHeight="1" x14ac:dyDescent="0.15">
      <c r="B294" s="72"/>
      <c r="C294" s="48"/>
    </row>
    <row r="295" spans="2:3" ht="14" customHeight="1" x14ac:dyDescent="0.15">
      <c r="B295" s="72"/>
      <c r="C295" s="48"/>
    </row>
    <row r="296" spans="2:3" ht="14" customHeight="1" x14ac:dyDescent="0.15">
      <c r="B296" s="72"/>
      <c r="C296" s="48"/>
    </row>
    <row r="297" spans="2:3" ht="14" customHeight="1" x14ac:dyDescent="0.15">
      <c r="B297" s="72"/>
      <c r="C297" s="48"/>
    </row>
    <row r="298" spans="2:3" ht="14" customHeight="1" x14ac:dyDescent="0.15">
      <c r="B298" s="72"/>
      <c r="C298" s="48"/>
    </row>
    <row r="299" spans="2:3" ht="14" customHeight="1" x14ac:dyDescent="0.15">
      <c r="B299" s="72"/>
      <c r="C299" s="48"/>
    </row>
    <row r="300" spans="2:3" ht="14" customHeight="1" x14ac:dyDescent="0.15">
      <c r="B300" s="72"/>
      <c r="C300" s="48"/>
    </row>
    <row r="301" spans="2:3" ht="14" customHeight="1" x14ac:dyDescent="0.15">
      <c r="B301" s="72"/>
      <c r="C301" s="48"/>
    </row>
    <row r="302" spans="2:3" ht="14" customHeight="1" x14ac:dyDescent="0.15">
      <c r="B302" s="72"/>
      <c r="C302" s="48"/>
    </row>
    <row r="303" spans="2:3" ht="14" customHeight="1" x14ac:dyDescent="0.15">
      <c r="B303" s="72"/>
      <c r="C303" s="48"/>
    </row>
    <row r="304" spans="2:3" ht="14" customHeight="1" x14ac:dyDescent="0.15">
      <c r="B304" s="72"/>
      <c r="C304" s="48"/>
    </row>
    <row r="305" spans="2:3" ht="14" customHeight="1" x14ac:dyDescent="0.15">
      <c r="B305" s="72"/>
      <c r="C305" s="48"/>
    </row>
    <row r="306" spans="2:3" ht="14" customHeight="1" x14ac:dyDescent="0.15">
      <c r="B306" s="72"/>
      <c r="C306" s="48"/>
    </row>
    <row r="307" spans="2:3" ht="14" customHeight="1" x14ac:dyDescent="0.15">
      <c r="B307" s="72"/>
      <c r="C307" s="48"/>
    </row>
    <row r="308" spans="2:3" ht="14" customHeight="1" x14ac:dyDescent="0.15">
      <c r="B308" s="72"/>
      <c r="C308" s="48"/>
    </row>
    <row r="309" spans="2:3" ht="14" customHeight="1" x14ac:dyDescent="0.15">
      <c r="B309" s="72"/>
      <c r="C309" s="48"/>
    </row>
    <row r="310" spans="2:3" ht="14" customHeight="1" x14ac:dyDescent="0.15">
      <c r="B310" s="72"/>
      <c r="C310" s="48"/>
    </row>
    <row r="311" spans="2:3" ht="14" customHeight="1" x14ac:dyDescent="0.15">
      <c r="B311" s="72"/>
      <c r="C311" s="48"/>
    </row>
    <row r="312" spans="2:3" ht="14" customHeight="1" x14ac:dyDescent="0.15">
      <c r="B312" s="72"/>
      <c r="C312" s="48"/>
    </row>
    <row r="313" spans="2:3" ht="14" customHeight="1" x14ac:dyDescent="0.15">
      <c r="B313" s="72"/>
      <c r="C313" s="48"/>
    </row>
    <row r="314" spans="2:3" ht="14" customHeight="1" x14ac:dyDescent="0.15">
      <c r="B314" s="72"/>
      <c r="C314" s="48"/>
    </row>
    <row r="315" spans="2:3" ht="14" customHeight="1" x14ac:dyDescent="0.15">
      <c r="B315" s="72"/>
      <c r="C315" s="48"/>
    </row>
    <row r="316" spans="2:3" ht="14" customHeight="1" x14ac:dyDescent="0.15">
      <c r="B316" s="72"/>
      <c r="C316" s="48"/>
    </row>
    <row r="317" spans="2:3" ht="14" customHeight="1" x14ac:dyDescent="0.15">
      <c r="B317" s="72"/>
      <c r="C317" s="48"/>
    </row>
    <row r="318" spans="2:3" ht="14" customHeight="1" x14ac:dyDescent="0.15">
      <c r="B318" s="72"/>
      <c r="C318" s="48"/>
    </row>
    <row r="319" spans="2:3" ht="14" customHeight="1" x14ac:dyDescent="0.15">
      <c r="B319" s="72"/>
      <c r="C319" s="48"/>
    </row>
    <row r="320" spans="2:3" ht="14" customHeight="1" x14ac:dyDescent="0.15">
      <c r="B320" s="72"/>
      <c r="C320" s="48"/>
    </row>
    <row r="321" spans="2:3" ht="14" customHeight="1" x14ac:dyDescent="0.15">
      <c r="B321" s="72"/>
      <c r="C321" s="48"/>
    </row>
    <row r="322" spans="2:3" ht="14" customHeight="1" x14ac:dyDescent="0.15">
      <c r="B322" s="72"/>
      <c r="C322" s="48"/>
    </row>
    <row r="323" spans="2:3" ht="14" customHeight="1" x14ac:dyDescent="0.15">
      <c r="B323" s="72"/>
      <c r="C323" s="48"/>
    </row>
    <row r="324" spans="2:3" ht="14" customHeight="1" x14ac:dyDescent="0.15">
      <c r="B324" s="72"/>
      <c r="C324" s="48"/>
    </row>
    <row r="325" spans="2:3" ht="14" customHeight="1" x14ac:dyDescent="0.15">
      <c r="B325" s="72"/>
      <c r="C325" s="48"/>
    </row>
    <row r="326" spans="2:3" ht="14" customHeight="1" x14ac:dyDescent="0.15">
      <c r="B326" s="72"/>
      <c r="C326" s="48"/>
    </row>
    <row r="327" spans="2:3" ht="14" customHeight="1" x14ac:dyDescent="0.15">
      <c r="B327" s="72"/>
      <c r="C327" s="48"/>
    </row>
    <row r="328" spans="2:3" ht="14" customHeight="1" x14ac:dyDescent="0.15">
      <c r="B328" s="72"/>
      <c r="C328" s="48"/>
    </row>
    <row r="329" spans="2:3" ht="14" customHeight="1" x14ac:dyDescent="0.15">
      <c r="B329" s="72"/>
      <c r="C329" s="48"/>
    </row>
    <row r="330" spans="2:3" ht="14" customHeight="1" x14ac:dyDescent="0.15">
      <c r="B330" s="72"/>
      <c r="C330" s="48"/>
    </row>
    <row r="331" spans="2:3" ht="14" customHeight="1" x14ac:dyDescent="0.15">
      <c r="B331" s="72"/>
      <c r="C331" s="48"/>
    </row>
    <row r="332" spans="2:3" ht="14" customHeight="1" x14ac:dyDescent="0.15">
      <c r="B332" s="72"/>
      <c r="C332" s="48"/>
    </row>
    <row r="333" spans="2:3" ht="14" customHeight="1" x14ac:dyDescent="0.15">
      <c r="B333" s="72"/>
      <c r="C333" s="48"/>
    </row>
    <row r="334" spans="2:3" ht="14" customHeight="1" x14ac:dyDescent="0.15">
      <c r="B334" s="72"/>
      <c r="C334" s="48"/>
    </row>
    <row r="335" spans="2:3" ht="14" customHeight="1" x14ac:dyDescent="0.15">
      <c r="B335" s="72"/>
      <c r="C335" s="48"/>
    </row>
    <row r="336" spans="2:3" ht="14" customHeight="1" x14ac:dyDescent="0.15">
      <c r="B336" s="72"/>
      <c r="C336" s="48"/>
    </row>
    <row r="337" spans="2:3" ht="14" customHeight="1" x14ac:dyDescent="0.15">
      <c r="B337" s="72"/>
      <c r="C337" s="48"/>
    </row>
    <row r="338" spans="2:3" ht="14" customHeight="1" x14ac:dyDescent="0.15">
      <c r="B338" s="72"/>
      <c r="C338" s="48"/>
    </row>
    <row r="339" spans="2:3" ht="14" customHeight="1" x14ac:dyDescent="0.15">
      <c r="B339" s="72"/>
      <c r="C339" s="48"/>
    </row>
    <row r="340" spans="2:3" ht="14" customHeight="1" x14ac:dyDescent="0.15">
      <c r="B340" s="72"/>
      <c r="C340" s="48"/>
    </row>
    <row r="341" spans="2:3" ht="14" customHeight="1" x14ac:dyDescent="0.15">
      <c r="B341" s="72"/>
      <c r="C341" s="48"/>
    </row>
    <row r="342" spans="2:3" ht="14" customHeight="1" x14ac:dyDescent="0.15">
      <c r="B342" s="72"/>
      <c r="C342" s="48"/>
    </row>
    <row r="343" spans="2:3" ht="14" customHeight="1" x14ac:dyDescent="0.15">
      <c r="B343" s="72"/>
      <c r="C343" s="48"/>
    </row>
    <row r="344" spans="2:3" ht="14" customHeight="1" x14ac:dyDescent="0.15">
      <c r="B344" s="72"/>
      <c r="C344" s="48"/>
    </row>
    <row r="345" spans="2:3" ht="14" customHeight="1" x14ac:dyDescent="0.15">
      <c r="B345" s="72"/>
      <c r="C345" s="48"/>
    </row>
    <row r="346" spans="2:3" ht="14" customHeight="1" x14ac:dyDescent="0.15">
      <c r="B346" s="72"/>
      <c r="C346" s="48"/>
    </row>
    <row r="347" spans="2:3" ht="14" customHeight="1" x14ac:dyDescent="0.15">
      <c r="B347" s="72"/>
      <c r="C347" s="48"/>
    </row>
    <row r="348" spans="2:3" ht="14" customHeight="1" x14ac:dyDescent="0.15">
      <c r="B348" s="72"/>
      <c r="C348" s="48"/>
    </row>
    <row r="349" spans="2:3" ht="14" customHeight="1" x14ac:dyDescent="0.15">
      <c r="B349" s="72"/>
      <c r="C349" s="48"/>
    </row>
    <row r="350" spans="2:3" ht="14" customHeight="1" x14ac:dyDescent="0.15">
      <c r="B350" s="72"/>
      <c r="C350" s="48"/>
    </row>
    <row r="351" spans="2:3" ht="14" customHeight="1" x14ac:dyDescent="0.15">
      <c r="B351" s="72"/>
      <c r="C351" s="48"/>
    </row>
    <row r="352" spans="2:3" ht="14" customHeight="1" x14ac:dyDescent="0.15">
      <c r="B352" s="72"/>
      <c r="C352" s="48"/>
    </row>
    <row r="353" spans="2:3" ht="14" customHeight="1" x14ac:dyDescent="0.15">
      <c r="B353" s="72"/>
      <c r="C353" s="48"/>
    </row>
    <row r="354" spans="2:3" ht="14" customHeight="1" x14ac:dyDescent="0.15">
      <c r="B354" s="72"/>
      <c r="C354" s="48"/>
    </row>
    <row r="355" spans="2:3" ht="14" customHeight="1" x14ac:dyDescent="0.15">
      <c r="B355" s="72"/>
      <c r="C355" s="48"/>
    </row>
    <row r="356" spans="2:3" ht="14" customHeight="1" x14ac:dyDescent="0.15">
      <c r="B356" s="72"/>
      <c r="C356" s="48"/>
    </row>
    <row r="357" spans="2:3" ht="14" customHeight="1" x14ac:dyDescent="0.15">
      <c r="B357" s="72"/>
      <c r="C357" s="48"/>
    </row>
    <row r="358" spans="2:3" ht="14" customHeight="1" x14ac:dyDescent="0.15">
      <c r="B358" s="72"/>
      <c r="C358" s="48"/>
    </row>
    <row r="359" spans="2:3" ht="14" customHeight="1" x14ac:dyDescent="0.15">
      <c r="B359" s="72"/>
      <c r="C359" s="48"/>
    </row>
    <row r="360" spans="2:3" ht="14" customHeight="1" x14ac:dyDescent="0.15">
      <c r="B360" s="72"/>
      <c r="C360" s="48"/>
    </row>
    <row r="361" spans="2:3" ht="14" customHeight="1" x14ac:dyDescent="0.15">
      <c r="B361" s="72"/>
      <c r="C361" s="48"/>
    </row>
    <row r="362" spans="2:3" ht="14" customHeight="1" x14ac:dyDescent="0.15">
      <c r="B362" s="72"/>
      <c r="C362" s="48"/>
    </row>
    <row r="363" spans="2:3" ht="14" customHeight="1" x14ac:dyDescent="0.15">
      <c r="B363" s="72"/>
      <c r="C363" s="48"/>
    </row>
    <row r="364" spans="2:3" ht="14" customHeight="1" x14ac:dyDescent="0.15">
      <c r="B364" s="72"/>
      <c r="C364" s="48"/>
    </row>
    <row r="365" spans="2:3" ht="14" customHeight="1" x14ac:dyDescent="0.15">
      <c r="B365" s="72"/>
      <c r="C365" s="48"/>
    </row>
    <row r="366" spans="2:3" ht="14" customHeight="1" x14ac:dyDescent="0.15">
      <c r="B366" s="72"/>
      <c r="C366" s="48"/>
    </row>
    <row r="367" spans="2:3" ht="14" customHeight="1" x14ac:dyDescent="0.15">
      <c r="B367" s="72"/>
      <c r="C367" s="48"/>
    </row>
    <row r="368" spans="2:3" ht="14" customHeight="1" x14ac:dyDescent="0.15">
      <c r="B368" s="72"/>
      <c r="C368" s="48"/>
    </row>
    <row r="369" spans="2:3" ht="14" customHeight="1" x14ac:dyDescent="0.15">
      <c r="B369" s="72"/>
      <c r="C369" s="48"/>
    </row>
    <row r="370" spans="2:3" ht="14" customHeight="1" x14ac:dyDescent="0.15">
      <c r="B370" s="72"/>
      <c r="C370" s="48"/>
    </row>
    <row r="371" spans="2:3" ht="14" customHeight="1" x14ac:dyDescent="0.15">
      <c r="B371" s="72"/>
      <c r="C371" s="48"/>
    </row>
    <row r="372" spans="2:3" ht="14" customHeight="1" x14ac:dyDescent="0.15">
      <c r="B372" s="72"/>
      <c r="C372" s="48"/>
    </row>
    <row r="373" spans="2:3" ht="14" customHeight="1" x14ac:dyDescent="0.15">
      <c r="B373" s="72"/>
      <c r="C373" s="48"/>
    </row>
    <row r="374" spans="2:3" ht="14" customHeight="1" x14ac:dyDescent="0.15">
      <c r="B374" s="72"/>
      <c r="C374" s="48"/>
    </row>
    <row r="375" spans="2:3" ht="14" customHeight="1" x14ac:dyDescent="0.15">
      <c r="B375" s="72"/>
      <c r="C375" s="48"/>
    </row>
    <row r="376" spans="2:3" ht="14" customHeight="1" x14ac:dyDescent="0.15">
      <c r="B376" s="72"/>
      <c r="C376" s="48"/>
    </row>
    <row r="377" spans="2:3" ht="14" customHeight="1" x14ac:dyDescent="0.15">
      <c r="B377" s="72"/>
      <c r="C377" s="48"/>
    </row>
    <row r="378" spans="2:3" ht="14" customHeight="1" x14ac:dyDescent="0.15">
      <c r="B378" s="72"/>
      <c r="C378" s="48"/>
    </row>
    <row r="379" spans="2:3" ht="14" customHeight="1" x14ac:dyDescent="0.15">
      <c r="B379" s="72"/>
      <c r="C379" s="48"/>
    </row>
    <row r="380" spans="2:3" ht="14" customHeight="1" x14ac:dyDescent="0.15">
      <c r="B380" s="72"/>
      <c r="C380" s="48"/>
    </row>
    <row r="381" spans="2:3" ht="14" customHeight="1" x14ac:dyDescent="0.15">
      <c r="B381" s="72"/>
      <c r="C381" s="48"/>
    </row>
    <row r="382" spans="2:3" ht="14" customHeight="1" x14ac:dyDescent="0.15">
      <c r="B382" s="72"/>
      <c r="C382" s="48"/>
    </row>
    <row r="383" spans="2:3" ht="14" customHeight="1" x14ac:dyDescent="0.15">
      <c r="B383" s="72"/>
      <c r="C383" s="48"/>
    </row>
    <row r="384" spans="2:3" ht="14" customHeight="1" x14ac:dyDescent="0.15">
      <c r="B384" s="72"/>
      <c r="C384" s="48"/>
    </row>
    <row r="385" spans="2:3" ht="14" customHeight="1" x14ac:dyDescent="0.15">
      <c r="B385" s="72"/>
      <c r="C385" s="48"/>
    </row>
    <row r="386" spans="2:3" ht="14" customHeight="1" x14ac:dyDescent="0.15">
      <c r="B386" s="72"/>
      <c r="C386" s="48"/>
    </row>
    <row r="387" spans="2:3" ht="14" customHeight="1" x14ac:dyDescent="0.15">
      <c r="B387" s="72"/>
      <c r="C387" s="48"/>
    </row>
    <row r="388" spans="2:3" ht="14" customHeight="1" x14ac:dyDescent="0.15">
      <c r="B388" s="72"/>
      <c r="C388" s="48"/>
    </row>
    <row r="389" spans="2:3" ht="14" customHeight="1" x14ac:dyDescent="0.15">
      <c r="B389" s="72"/>
      <c r="C389" s="48"/>
    </row>
    <row r="390" spans="2:3" ht="14" customHeight="1" x14ac:dyDescent="0.15">
      <c r="B390" s="72"/>
      <c r="C390" s="48"/>
    </row>
    <row r="391" spans="2:3" ht="14" customHeight="1" x14ac:dyDescent="0.15">
      <c r="B391" s="72"/>
      <c r="C391" s="48"/>
    </row>
    <row r="392" spans="2:3" ht="14" customHeight="1" x14ac:dyDescent="0.15">
      <c r="B392" s="72"/>
      <c r="C392" s="48"/>
    </row>
    <row r="393" spans="2:3" ht="14" customHeight="1" x14ac:dyDescent="0.15">
      <c r="B393" s="72"/>
      <c r="C393" s="48"/>
    </row>
    <row r="394" spans="2:3" ht="14" customHeight="1" x14ac:dyDescent="0.15">
      <c r="B394" s="72"/>
      <c r="C394" s="48"/>
    </row>
    <row r="395" spans="2:3" ht="14" customHeight="1" x14ac:dyDescent="0.15">
      <c r="B395" s="72"/>
      <c r="C395" s="48"/>
    </row>
    <row r="396" spans="2:3" ht="14" customHeight="1" x14ac:dyDescent="0.15">
      <c r="B396" s="72"/>
      <c r="C396" s="48"/>
    </row>
    <row r="397" spans="2:3" ht="14" customHeight="1" x14ac:dyDescent="0.15">
      <c r="B397" s="72"/>
      <c r="C397" s="48"/>
    </row>
    <row r="398" spans="2:3" ht="14" customHeight="1" x14ac:dyDescent="0.15">
      <c r="B398" s="72"/>
      <c r="C398" s="48"/>
    </row>
    <row r="399" spans="2:3" ht="14" customHeight="1" x14ac:dyDescent="0.15">
      <c r="B399" s="72"/>
      <c r="C399" s="48"/>
    </row>
    <row r="400" spans="2:3" ht="14" customHeight="1" x14ac:dyDescent="0.15">
      <c r="B400" s="72"/>
      <c r="C400" s="48"/>
    </row>
    <row r="401" spans="2:3" ht="14" customHeight="1" x14ac:dyDescent="0.15">
      <c r="B401" s="72"/>
      <c r="C401" s="48"/>
    </row>
    <row r="402" spans="2:3" ht="14" customHeight="1" x14ac:dyDescent="0.15">
      <c r="B402" s="72"/>
      <c r="C402" s="48"/>
    </row>
    <row r="403" spans="2:3" ht="14" customHeight="1" x14ac:dyDescent="0.15">
      <c r="B403" s="72"/>
      <c r="C403" s="48"/>
    </row>
    <row r="404" spans="2:3" ht="14" customHeight="1" x14ac:dyDescent="0.15">
      <c r="B404" s="72"/>
      <c r="C404" s="48"/>
    </row>
    <row r="405" spans="2:3" ht="14" customHeight="1" x14ac:dyDescent="0.15">
      <c r="B405" s="72"/>
      <c r="C405" s="48"/>
    </row>
    <row r="406" spans="2:3" ht="14" customHeight="1" x14ac:dyDescent="0.15">
      <c r="B406" s="72"/>
      <c r="C406" s="48"/>
    </row>
    <row r="407" spans="2:3" ht="14" customHeight="1" x14ac:dyDescent="0.15">
      <c r="B407" s="72"/>
      <c r="C407" s="48"/>
    </row>
    <row r="408" spans="2:3" ht="14" customHeight="1" x14ac:dyDescent="0.15">
      <c r="B408" s="72"/>
      <c r="C408" s="48"/>
    </row>
    <row r="409" spans="2:3" ht="14" customHeight="1" x14ac:dyDescent="0.15">
      <c r="B409" s="72"/>
      <c r="C409" s="48"/>
    </row>
    <row r="410" spans="2:3" ht="14" customHeight="1" x14ac:dyDescent="0.15">
      <c r="B410" s="72"/>
      <c r="C410" s="48"/>
    </row>
    <row r="411" spans="2:3" ht="14" customHeight="1" x14ac:dyDescent="0.15">
      <c r="B411" s="72"/>
      <c r="C411" s="48"/>
    </row>
    <row r="412" spans="2:3" ht="14" customHeight="1" x14ac:dyDescent="0.15">
      <c r="B412" s="72"/>
      <c r="C412" s="48"/>
    </row>
    <row r="413" spans="2:3" ht="14" customHeight="1" x14ac:dyDescent="0.15">
      <c r="B413" s="72"/>
      <c r="C413" s="48"/>
    </row>
    <row r="414" spans="2:3" ht="14" customHeight="1" x14ac:dyDescent="0.15">
      <c r="B414" s="72"/>
      <c r="C414" s="48"/>
    </row>
    <row r="415" spans="2:3" ht="14" customHeight="1" x14ac:dyDescent="0.15">
      <c r="B415" s="72"/>
      <c r="C415" s="48"/>
    </row>
    <row r="416" spans="2:3" ht="14" customHeight="1" x14ac:dyDescent="0.15">
      <c r="B416" s="72"/>
      <c r="C416" s="48"/>
    </row>
    <row r="417" spans="2:3" ht="14" customHeight="1" x14ac:dyDescent="0.15">
      <c r="B417" s="72"/>
      <c r="C417" s="48"/>
    </row>
    <row r="418" spans="2:3" ht="14" customHeight="1" x14ac:dyDescent="0.15">
      <c r="B418" s="72"/>
      <c r="C418" s="48"/>
    </row>
    <row r="419" spans="2:3" ht="14" customHeight="1" x14ac:dyDescent="0.15">
      <c r="B419" s="72"/>
      <c r="C419" s="48"/>
    </row>
    <row r="420" spans="2:3" ht="14" customHeight="1" x14ac:dyDescent="0.15">
      <c r="B420" s="72"/>
      <c r="C420" s="48"/>
    </row>
    <row r="421" spans="2:3" ht="14" customHeight="1" x14ac:dyDescent="0.15">
      <c r="B421" s="72"/>
      <c r="C421" s="48"/>
    </row>
    <row r="422" spans="2:3" ht="14" customHeight="1" x14ac:dyDescent="0.15">
      <c r="B422" s="72"/>
      <c r="C422" s="48"/>
    </row>
    <row r="423" spans="2:3" ht="14" customHeight="1" x14ac:dyDescent="0.15">
      <c r="B423" s="72"/>
      <c r="C423" s="48"/>
    </row>
    <row r="424" spans="2:3" ht="14" customHeight="1" x14ac:dyDescent="0.15">
      <c r="B424" s="72"/>
      <c r="C424" s="48"/>
    </row>
    <row r="425" spans="2:3" ht="14" customHeight="1" x14ac:dyDescent="0.15">
      <c r="B425" s="72"/>
      <c r="C425" s="48"/>
    </row>
    <row r="426" spans="2:3" ht="14" customHeight="1" x14ac:dyDescent="0.15">
      <c r="B426" s="72"/>
      <c r="C426" s="48"/>
    </row>
    <row r="427" spans="2:3" ht="14" customHeight="1" x14ac:dyDescent="0.15">
      <c r="B427" s="72"/>
      <c r="C427" s="48"/>
    </row>
    <row r="428" spans="2:3" ht="14" customHeight="1" x14ac:dyDescent="0.15">
      <c r="B428" s="72"/>
      <c r="C428" s="48"/>
    </row>
    <row r="429" spans="2:3" ht="14" customHeight="1" x14ac:dyDescent="0.15">
      <c r="B429" s="72"/>
      <c r="C429" s="48"/>
    </row>
    <row r="430" spans="2:3" ht="14" customHeight="1" x14ac:dyDescent="0.15">
      <c r="B430" s="72"/>
      <c r="C430" s="48"/>
    </row>
    <row r="431" spans="2:3" ht="14" customHeight="1" x14ac:dyDescent="0.15">
      <c r="B431" s="72"/>
      <c r="C431" s="48"/>
    </row>
    <row r="432" spans="2:3" ht="14" customHeight="1" x14ac:dyDescent="0.15">
      <c r="B432" s="72"/>
      <c r="C432" s="48"/>
    </row>
    <row r="433" spans="2:3" ht="14" customHeight="1" x14ac:dyDescent="0.15">
      <c r="B433" s="72"/>
      <c r="C433" s="48"/>
    </row>
    <row r="434" spans="2:3" ht="14" customHeight="1" x14ac:dyDescent="0.15">
      <c r="B434" s="72"/>
      <c r="C434" s="48"/>
    </row>
    <row r="435" spans="2:3" ht="14" customHeight="1" x14ac:dyDescent="0.15">
      <c r="B435" s="72"/>
      <c r="C435" s="48"/>
    </row>
    <row r="436" spans="2:3" ht="14" customHeight="1" x14ac:dyDescent="0.15">
      <c r="B436" s="72"/>
      <c r="C436" s="48"/>
    </row>
    <row r="437" spans="2:3" ht="14" customHeight="1" x14ac:dyDescent="0.15">
      <c r="B437" s="72"/>
      <c r="C437" s="48"/>
    </row>
    <row r="438" spans="2:3" ht="14" customHeight="1" x14ac:dyDescent="0.15">
      <c r="B438" s="72"/>
      <c r="C438" s="48"/>
    </row>
    <row r="439" spans="2:3" ht="14" customHeight="1" x14ac:dyDescent="0.15">
      <c r="B439" s="72"/>
      <c r="C439" s="48"/>
    </row>
    <row r="440" spans="2:3" ht="14" customHeight="1" x14ac:dyDescent="0.15">
      <c r="B440" s="72"/>
      <c r="C440" s="48"/>
    </row>
    <row r="441" spans="2:3" ht="14" customHeight="1" x14ac:dyDescent="0.15">
      <c r="B441" s="72"/>
      <c r="C441" s="48"/>
    </row>
    <row r="442" spans="2:3" ht="14" customHeight="1" x14ac:dyDescent="0.15">
      <c r="B442" s="72"/>
      <c r="C442" s="48"/>
    </row>
    <row r="443" spans="2:3" ht="14" customHeight="1" x14ac:dyDescent="0.15">
      <c r="B443" s="72"/>
      <c r="C443" s="48"/>
    </row>
    <row r="444" spans="2:3" ht="14" customHeight="1" x14ac:dyDescent="0.15">
      <c r="B444" s="72"/>
      <c r="C444" s="48"/>
    </row>
    <row r="445" spans="2:3" ht="14" customHeight="1" x14ac:dyDescent="0.15">
      <c r="B445" s="72"/>
      <c r="C445" s="48"/>
    </row>
    <row r="446" spans="2:3" ht="14" customHeight="1" x14ac:dyDescent="0.15">
      <c r="B446" s="72"/>
      <c r="C446" s="48"/>
    </row>
    <row r="447" spans="2:3" ht="14" customHeight="1" x14ac:dyDescent="0.15">
      <c r="B447" s="72"/>
      <c r="C447" s="48"/>
    </row>
    <row r="448" spans="2:3" ht="14" customHeight="1" x14ac:dyDescent="0.15">
      <c r="B448" s="72"/>
      <c r="C448" s="48"/>
    </row>
    <row r="449" spans="2:3" ht="14" customHeight="1" x14ac:dyDescent="0.15">
      <c r="B449" s="72"/>
      <c r="C449" s="48"/>
    </row>
    <row r="450" spans="2:3" ht="14" customHeight="1" x14ac:dyDescent="0.15">
      <c r="B450" s="72"/>
      <c r="C450" s="48"/>
    </row>
    <row r="451" spans="2:3" ht="14" customHeight="1" x14ac:dyDescent="0.15">
      <c r="B451" s="72"/>
      <c r="C451" s="48"/>
    </row>
    <row r="452" spans="2:3" ht="14" customHeight="1" x14ac:dyDescent="0.15">
      <c r="B452" s="72"/>
      <c r="C452" s="48"/>
    </row>
    <row r="453" spans="2:3" ht="14" customHeight="1" x14ac:dyDescent="0.15">
      <c r="B453" s="72"/>
      <c r="C453" s="48"/>
    </row>
    <row r="454" spans="2:3" ht="14" customHeight="1" x14ac:dyDescent="0.15">
      <c r="B454" s="72"/>
      <c r="C454" s="48"/>
    </row>
    <row r="455" spans="2:3" ht="14" customHeight="1" x14ac:dyDescent="0.15">
      <c r="B455" s="72"/>
      <c r="C455" s="48"/>
    </row>
    <row r="456" spans="2:3" ht="14" customHeight="1" x14ac:dyDescent="0.15">
      <c r="B456" s="72"/>
      <c r="C456" s="48"/>
    </row>
    <row r="457" spans="2:3" ht="14" customHeight="1" x14ac:dyDescent="0.15">
      <c r="B457" s="72"/>
      <c r="C457" s="48"/>
    </row>
    <row r="458" spans="2:3" ht="14" customHeight="1" x14ac:dyDescent="0.15">
      <c r="B458" s="72"/>
      <c r="C458" s="48"/>
    </row>
    <row r="459" spans="2:3" ht="14" customHeight="1" x14ac:dyDescent="0.15">
      <c r="B459" s="72"/>
      <c r="C459" s="48"/>
    </row>
    <row r="460" spans="2:3" ht="14" customHeight="1" x14ac:dyDescent="0.15">
      <c r="B460" s="72"/>
      <c r="C460" s="48"/>
    </row>
    <row r="461" spans="2:3" ht="14" customHeight="1" x14ac:dyDescent="0.15">
      <c r="B461" s="72"/>
      <c r="C461" s="48"/>
    </row>
    <row r="462" spans="2:3" ht="14" customHeight="1" x14ac:dyDescent="0.15">
      <c r="B462" s="72"/>
      <c r="C462" s="48"/>
    </row>
    <row r="463" spans="2:3" ht="14" customHeight="1" x14ac:dyDescent="0.15">
      <c r="B463" s="72"/>
      <c r="C463" s="48"/>
    </row>
    <row r="464" spans="2:3" ht="14" customHeight="1" x14ac:dyDescent="0.15">
      <c r="B464" s="72"/>
      <c r="C464" s="48"/>
    </row>
    <row r="465" spans="2:3" ht="14" customHeight="1" x14ac:dyDescent="0.15">
      <c r="B465" s="72"/>
      <c r="C465" s="48"/>
    </row>
    <row r="466" spans="2:3" ht="14" customHeight="1" x14ac:dyDescent="0.15">
      <c r="B466" s="72"/>
      <c r="C466" s="48"/>
    </row>
    <row r="467" spans="2:3" ht="14" customHeight="1" x14ac:dyDescent="0.15">
      <c r="B467" s="72"/>
      <c r="C467" s="48"/>
    </row>
    <row r="468" spans="2:3" ht="14" customHeight="1" x14ac:dyDescent="0.15">
      <c r="B468" s="72"/>
      <c r="C468" s="48"/>
    </row>
    <row r="469" spans="2:3" ht="14" customHeight="1" x14ac:dyDescent="0.15">
      <c r="B469" s="72"/>
      <c r="C469" s="48"/>
    </row>
    <row r="470" spans="2:3" ht="14" customHeight="1" x14ac:dyDescent="0.15">
      <c r="B470" s="72"/>
      <c r="C470" s="48"/>
    </row>
    <row r="471" spans="2:3" ht="14" customHeight="1" x14ac:dyDescent="0.15">
      <c r="B471" s="72"/>
      <c r="C471" s="48"/>
    </row>
    <row r="472" spans="2:3" ht="14" customHeight="1" x14ac:dyDescent="0.15">
      <c r="B472" s="72"/>
      <c r="C472" s="48"/>
    </row>
    <row r="473" spans="2:3" ht="14" customHeight="1" x14ac:dyDescent="0.15">
      <c r="B473" s="72"/>
      <c r="C473" s="48"/>
    </row>
    <row r="474" spans="2:3" ht="14" customHeight="1" x14ac:dyDescent="0.15">
      <c r="B474" s="72"/>
      <c r="C474" s="48"/>
    </row>
    <row r="475" spans="2:3" ht="14" customHeight="1" x14ac:dyDescent="0.15">
      <c r="B475" s="72"/>
      <c r="C475" s="48"/>
    </row>
    <row r="476" spans="2:3" ht="14" customHeight="1" x14ac:dyDescent="0.15">
      <c r="B476" s="72"/>
      <c r="C476" s="48"/>
    </row>
    <row r="477" spans="2:3" ht="14" customHeight="1" x14ac:dyDescent="0.15">
      <c r="B477" s="72"/>
      <c r="C477" s="48"/>
    </row>
    <row r="478" spans="2:3" ht="14" customHeight="1" x14ac:dyDescent="0.15">
      <c r="B478" s="72"/>
      <c r="C478" s="48"/>
    </row>
    <row r="479" spans="2:3" ht="14" customHeight="1" x14ac:dyDescent="0.15">
      <c r="B479" s="72"/>
      <c r="C479" s="48"/>
    </row>
    <row r="480" spans="2:3" ht="14" customHeight="1" x14ac:dyDescent="0.15">
      <c r="B480" s="72"/>
      <c r="C480" s="48"/>
    </row>
    <row r="481" spans="2:3" ht="14" customHeight="1" x14ac:dyDescent="0.15">
      <c r="B481" s="72"/>
      <c r="C481" s="48"/>
    </row>
    <row r="482" spans="2:3" ht="14" customHeight="1" x14ac:dyDescent="0.15">
      <c r="B482" s="72"/>
      <c r="C482" s="48"/>
    </row>
    <row r="483" spans="2:3" ht="14" customHeight="1" x14ac:dyDescent="0.15">
      <c r="B483" s="72"/>
      <c r="C483" s="48"/>
    </row>
    <row r="484" spans="2:3" ht="14" customHeight="1" x14ac:dyDescent="0.15">
      <c r="B484" s="72"/>
      <c r="C484" s="48"/>
    </row>
    <row r="485" spans="2:3" ht="14" customHeight="1" x14ac:dyDescent="0.15">
      <c r="B485" s="72"/>
      <c r="C485" s="48"/>
    </row>
    <row r="486" spans="2:3" ht="14" customHeight="1" x14ac:dyDescent="0.15">
      <c r="B486" s="72"/>
      <c r="C486" s="48"/>
    </row>
    <row r="487" spans="2:3" ht="14" customHeight="1" x14ac:dyDescent="0.15">
      <c r="B487" s="72"/>
      <c r="C487" s="48"/>
    </row>
    <row r="488" spans="2:3" ht="14" customHeight="1" x14ac:dyDescent="0.15">
      <c r="B488" s="72"/>
      <c r="C488" s="48"/>
    </row>
    <row r="489" spans="2:3" ht="14" customHeight="1" x14ac:dyDescent="0.15">
      <c r="B489" s="72"/>
      <c r="C489" s="48"/>
    </row>
    <row r="490" spans="2:3" ht="14" customHeight="1" x14ac:dyDescent="0.15">
      <c r="B490" s="72"/>
      <c r="C490" s="48"/>
    </row>
    <row r="491" spans="2:3" ht="14" customHeight="1" x14ac:dyDescent="0.15">
      <c r="B491" s="72"/>
      <c r="C491" s="48"/>
    </row>
    <row r="492" spans="2:3" ht="14" customHeight="1" x14ac:dyDescent="0.15">
      <c r="B492" s="72"/>
      <c r="C492" s="48"/>
    </row>
    <row r="493" spans="2:3" ht="14" customHeight="1" x14ac:dyDescent="0.15">
      <c r="B493" s="72"/>
      <c r="C493" s="48"/>
    </row>
    <row r="494" spans="2:3" ht="14" customHeight="1" x14ac:dyDescent="0.15">
      <c r="B494" s="72"/>
      <c r="C494" s="48"/>
    </row>
    <row r="495" spans="2:3" ht="14" customHeight="1" x14ac:dyDescent="0.15">
      <c r="B495" s="72"/>
      <c r="C495" s="48"/>
    </row>
    <row r="496" spans="2:3" ht="14" customHeight="1" x14ac:dyDescent="0.15">
      <c r="B496" s="72"/>
      <c r="C496" s="48"/>
    </row>
    <row r="497" spans="2:3" ht="14" customHeight="1" x14ac:dyDescent="0.15">
      <c r="B497" s="72"/>
      <c r="C497" s="48"/>
    </row>
    <row r="498" spans="2:3" ht="14" customHeight="1" x14ac:dyDescent="0.15">
      <c r="B498" s="72"/>
      <c r="C498" s="48"/>
    </row>
    <row r="499" spans="2:3" ht="14" customHeight="1" x14ac:dyDescent="0.15">
      <c r="B499" s="72"/>
      <c r="C499" s="48"/>
    </row>
    <row r="500" spans="2:3" ht="14" customHeight="1" x14ac:dyDescent="0.15">
      <c r="B500" s="72"/>
      <c r="C500" s="48"/>
    </row>
    <row r="501" spans="2:3" ht="14" customHeight="1" x14ac:dyDescent="0.15">
      <c r="B501" s="72"/>
      <c r="C501" s="48"/>
    </row>
    <row r="502" spans="2:3" ht="14" customHeight="1" x14ac:dyDescent="0.15">
      <c r="B502" s="72"/>
      <c r="C502" s="48"/>
    </row>
    <row r="503" spans="2:3" ht="14" customHeight="1" x14ac:dyDescent="0.15">
      <c r="B503" s="72"/>
      <c r="C503" s="48"/>
    </row>
    <row r="504" spans="2:3" ht="14" customHeight="1" x14ac:dyDescent="0.15">
      <c r="B504" s="72"/>
      <c r="C504" s="48"/>
    </row>
    <row r="505" spans="2:3" ht="14" customHeight="1" x14ac:dyDescent="0.15">
      <c r="B505" s="72"/>
      <c r="C505" s="48"/>
    </row>
    <row r="506" spans="2:3" ht="14" customHeight="1" x14ac:dyDescent="0.15">
      <c r="B506" s="72"/>
      <c r="C506" s="48"/>
    </row>
    <row r="507" spans="2:3" ht="14" customHeight="1" x14ac:dyDescent="0.15">
      <c r="B507" s="72"/>
      <c r="C507" s="48"/>
    </row>
    <row r="508" spans="2:3" ht="14" customHeight="1" x14ac:dyDescent="0.15">
      <c r="B508" s="72"/>
      <c r="C508" s="48"/>
    </row>
    <row r="509" spans="2:3" ht="14" customHeight="1" x14ac:dyDescent="0.15">
      <c r="B509" s="72"/>
      <c r="C509" s="48"/>
    </row>
    <row r="510" spans="2:3" ht="14" customHeight="1" x14ac:dyDescent="0.15">
      <c r="B510" s="72"/>
      <c r="C510" s="48"/>
    </row>
    <row r="511" spans="2:3" ht="14" customHeight="1" x14ac:dyDescent="0.15">
      <c r="B511" s="72"/>
      <c r="C511" s="48"/>
    </row>
    <row r="512" spans="2:3" ht="14" customHeight="1" x14ac:dyDescent="0.15">
      <c r="B512" s="72"/>
      <c r="C512" s="48"/>
    </row>
    <row r="513" spans="2:3" ht="14" customHeight="1" x14ac:dyDescent="0.15">
      <c r="B513" s="72"/>
      <c r="C513" s="48"/>
    </row>
    <row r="514" spans="2:3" ht="14" customHeight="1" x14ac:dyDescent="0.15">
      <c r="B514" s="72"/>
      <c r="C514" s="48"/>
    </row>
    <row r="515" spans="2:3" ht="14" customHeight="1" x14ac:dyDescent="0.15">
      <c r="B515" s="72"/>
      <c r="C515" s="48"/>
    </row>
    <row r="516" spans="2:3" ht="14" customHeight="1" x14ac:dyDescent="0.15">
      <c r="B516" s="72"/>
      <c r="C516" s="48"/>
    </row>
    <row r="517" spans="2:3" ht="14" customHeight="1" x14ac:dyDescent="0.15">
      <c r="B517" s="72"/>
      <c r="C517" s="48"/>
    </row>
    <row r="518" spans="2:3" ht="14" customHeight="1" x14ac:dyDescent="0.15">
      <c r="B518" s="72"/>
      <c r="C518" s="48"/>
    </row>
    <row r="519" spans="2:3" ht="14" customHeight="1" x14ac:dyDescent="0.15">
      <c r="B519" s="72"/>
      <c r="C519" s="48"/>
    </row>
    <row r="520" spans="2:3" ht="14" customHeight="1" x14ac:dyDescent="0.15">
      <c r="B520" s="72"/>
      <c r="C520" s="48"/>
    </row>
    <row r="521" spans="2:3" ht="14" customHeight="1" x14ac:dyDescent="0.15">
      <c r="B521" s="72"/>
      <c r="C521" s="48"/>
    </row>
    <row r="522" spans="2:3" ht="14" customHeight="1" x14ac:dyDescent="0.15">
      <c r="B522" s="72"/>
      <c r="C522" s="48"/>
    </row>
    <row r="523" spans="2:3" ht="14" customHeight="1" x14ac:dyDescent="0.15">
      <c r="B523" s="72"/>
      <c r="C523" s="48"/>
    </row>
    <row r="524" spans="2:3" ht="14" customHeight="1" x14ac:dyDescent="0.15">
      <c r="B524" s="72"/>
      <c r="C524" s="48"/>
    </row>
    <row r="525" spans="2:3" ht="14" customHeight="1" x14ac:dyDescent="0.15">
      <c r="B525" s="72"/>
      <c r="C525" s="48"/>
    </row>
    <row r="526" spans="2:3" ht="14" customHeight="1" x14ac:dyDescent="0.15">
      <c r="B526" s="72"/>
      <c r="C526" s="48"/>
    </row>
    <row r="527" spans="2:3" ht="14" customHeight="1" x14ac:dyDescent="0.15">
      <c r="B527" s="72"/>
      <c r="C527" s="48"/>
    </row>
    <row r="528" spans="2:3" ht="14" customHeight="1" x14ac:dyDescent="0.15">
      <c r="B528" s="72"/>
      <c r="C528" s="48"/>
    </row>
    <row r="529" spans="2:3" ht="14" customHeight="1" x14ac:dyDescent="0.15">
      <c r="B529" s="72"/>
      <c r="C529" s="48"/>
    </row>
    <row r="530" spans="2:3" ht="14" customHeight="1" x14ac:dyDescent="0.15">
      <c r="B530" s="72"/>
      <c r="C530" s="48"/>
    </row>
    <row r="531" spans="2:3" ht="14" customHeight="1" x14ac:dyDescent="0.15">
      <c r="B531" s="72"/>
      <c r="C531" s="48"/>
    </row>
    <row r="532" spans="2:3" ht="14" customHeight="1" x14ac:dyDescent="0.15">
      <c r="B532" s="72"/>
      <c r="C532" s="48"/>
    </row>
    <row r="533" spans="2:3" ht="14" customHeight="1" x14ac:dyDescent="0.15">
      <c r="B533" s="72"/>
      <c r="C533" s="48"/>
    </row>
    <row r="534" spans="2:3" ht="14" customHeight="1" x14ac:dyDescent="0.15">
      <c r="B534" s="72"/>
      <c r="C534" s="48"/>
    </row>
    <row r="535" spans="2:3" ht="14" customHeight="1" x14ac:dyDescent="0.15">
      <c r="B535" s="72"/>
      <c r="C535" s="48"/>
    </row>
    <row r="536" spans="2:3" ht="14" customHeight="1" x14ac:dyDescent="0.15">
      <c r="B536" s="72"/>
      <c r="C536" s="48"/>
    </row>
    <row r="537" spans="2:3" ht="14" customHeight="1" x14ac:dyDescent="0.15">
      <c r="B537" s="72"/>
      <c r="C537" s="48"/>
    </row>
    <row r="538" spans="2:3" ht="14" customHeight="1" x14ac:dyDescent="0.15">
      <c r="B538" s="72"/>
      <c r="C538" s="48"/>
    </row>
    <row r="539" spans="2:3" ht="14" customHeight="1" x14ac:dyDescent="0.15">
      <c r="B539" s="72"/>
      <c r="C539" s="48"/>
    </row>
    <row r="540" spans="2:3" ht="14" customHeight="1" x14ac:dyDescent="0.15">
      <c r="B540" s="72"/>
      <c r="C540" s="48"/>
    </row>
    <row r="541" spans="2:3" ht="14" customHeight="1" x14ac:dyDescent="0.15">
      <c r="B541" s="72"/>
      <c r="C541" s="48"/>
    </row>
    <row r="542" spans="2:3" ht="14" customHeight="1" x14ac:dyDescent="0.15">
      <c r="B542" s="72"/>
      <c r="C542" s="48"/>
    </row>
    <row r="543" spans="2:3" ht="14" customHeight="1" x14ac:dyDescent="0.15">
      <c r="B543" s="72"/>
      <c r="C543" s="48"/>
    </row>
    <row r="544" spans="2:3" ht="14" customHeight="1" x14ac:dyDescent="0.15">
      <c r="B544" s="72"/>
      <c r="C544" s="48"/>
    </row>
    <row r="545" spans="2:3" ht="14" customHeight="1" x14ac:dyDescent="0.15">
      <c r="B545" s="72"/>
      <c r="C545" s="48"/>
    </row>
    <row r="546" spans="2:3" ht="14" customHeight="1" x14ac:dyDescent="0.15">
      <c r="B546" s="72"/>
      <c r="C546" s="48"/>
    </row>
    <row r="547" spans="2:3" ht="14" customHeight="1" x14ac:dyDescent="0.15">
      <c r="B547" s="72"/>
      <c r="C547" s="48"/>
    </row>
    <row r="548" spans="2:3" ht="14" customHeight="1" x14ac:dyDescent="0.15">
      <c r="B548" s="72"/>
      <c r="C548" s="48"/>
    </row>
    <row r="549" spans="2:3" ht="14" customHeight="1" x14ac:dyDescent="0.15">
      <c r="B549" s="72"/>
      <c r="C549" s="48"/>
    </row>
    <row r="550" spans="2:3" ht="14" customHeight="1" x14ac:dyDescent="0.15">
      <c r="B550" s="72"/>
      <c r="C550" s="48"/>
    </row>
    <row r="551" spans="2:3" ht="14" customHeight="1" x14ac:dyDescent="0.15">
      <c r="B551" s="72"/>
      <c r="C551" s="48"/>
    </row>
    <row r="552" spans="2:3" ht="14" customHeight="1" x14ac:dyDescent="0.15">
      <c r="B552" s="72"/>
      <c r="C552" s="48"/>
    </row>
    <row r="553" spans="2:3" ht="14" customHeight="1" x14ac:dyDescent="0.15">
      <c r="B553" s="72"/>
      <c r="C553" s="48"/>
    </row>
    <row r="554" spans="2:3" ht="14" customHeight="1" x14ac:dyDescent="0.15">
      <c r="B554" s="72"/>
      <c r="C554" s="48"/>
    </row>
    <row r="555" spans="2:3" ht="14" customHeight="1" x14ac:dyDescent="0.15">
      <c r="B555" s="72"/>
      <c r="C555" s="48"/>
    </row>
    <row r="556" spans="2:3" ht="14" customHeight="1" x14ac:dyDescent="0.15">
      <c r="B556" s="72"/>
      <c r="C556" s="48"/>
    </row>
    <row r="557" spans="2:3" ht="14" customHeight="1" x14ac:dyDescent="0.15">
      <c r="B557" s="72"/>
      <c r="C557" s="48"/>
    </row>
    <row r="558" spans="2:3" ht="14" customHeight="1" x14ac:dyDescent="0.15">
      <c r="B558" s="72"/>
      <c r="C558" s="48"/>
    </row>
    <row r="559" spans="2:3" ht="14" customHeight="1" x14ac:dyDescent="0.15">
      <c r="B559" s="72"/>
      <c r="C559" s="48"/>
    </row>
    <row r="560" spans="2:3" ht="14" customHeight="1" x14ac:dyDescent="0.15">
      <c r="B560" s="72"/>
      <c r="C560" s="48"/>
    </row>
    <row r="561" spans="2:3" ht="14" customHeight="1" x14ac:dyDescent="0.15">
      <c r="B561" s="72"/>
      <c r="C561" s="48"/>
    </row>
    <row r="562" spans="2:3" ht="14" customHeight="1" x14ac:dyDescent="0.15">
      <c r="B562" s="72"/>
      <c r="C562" s="48"/>
    </row>
    <row r="563" spans="2:3" ht="14" customHeight="1" x14ac:dyDescent="0.15">
      <c r="B563" s="72"/>
      <c r="C563" s="48"/>
    </row>
    <row r="564" spans="2:3" ht="14" customHeight="1" x14ac:dyDescent="0.15">
      <c r="B564" s="72"/>
      <c r="C564" s="48"/>
    </row>
    <row r="565" spans="2:3" ht="14" customHeight="1" x14ac:dyDescent="0.15">
      <c r="B565" s="72"/>
      <c r="C565" s="48"/>
    </row>
    <row r="566" spans="2:3" ht="14" customHeight="1" x14ac:dyDescent="0.15">
      <c r="B566" s="72"/>
      <c r="C566" s="48"/>
    </row>
    <row r="567" spans="2:3" ht="14" customHeight="1" x14ac:dyDescent="0.15">
      <c r="B567" s="72"/>
      <c r="C567" s="48"/>
    </row>
    <row r="568" spans="2:3" ht="14" customHeight="1" x14ac:dyDescent="0.15">
      <c r="B568" s="72"/>
      <c r="C568" s="48"/>
    </row>
    <row r="569" spans="2:3" ht="14" customHeight="1" x14ac:dyDescent="0.15">
      <c r="B569" s="72"/>
      <c r="C569" s="48"/>
    </row>
    <row r="570" spans="2:3" ht="14" customHeight="1" x14ac:dyDescent="0.15">
      <c r="B570" s="72"/>
      <c r="C570" s="48"/>
    </row>
    <row r="571" spans="2:3" ht="14" customHeight="1" x14ac:dyDescent="0.15">
      <c r="B571" s="72"/>
      <c r="C571" s="48"/>
    </row>
    <row r="572" spans="2:3" ht="14" customHeight="1" x14ac:dyDescent="0.15">
      <c r="B572" s="72"/>
      <c r="C572" s="48"/>
    </row>
    <row r="573" spans="2:3" ht="14" customHeight="1" x14ac:dyDescent="0.15">
      <c r="B573" s="72"/>
      <c r="C573" s="48"/>
    </row>
    <row r="574" spans="2:3" ht="14" customHeight="1" x14ac:dyDescent="0.15">
      <c r="B574" s="72"/>
      <c r="C574" s="48"/>
    </row>
    <row r="575" spans="2:3" ht="14" customHeight="1" x14ac:dyDescent="0.15">
      <c r="B575" s="72"/>
      <c r="C575" s="48"/>
    </row>
    <row r="576" spans="2:3" ht="14" customHeight="1" x14ac:dyDescent="0.15">
      <c r="B576" s="72"/>
      <c r="C576" s="48"/>
    </row>
    <row r="577" spans="2:3" ht="14" customHeight="1" x14ac:dyDescent="0.15">
      <c r="B577" s="72"/>
      <c r="C577" s="48"/>
    </row>
    <row r="578" spans="2:3" ht="14" customHeight="1" x14ac:dyDescent="0.15">
      <c r="B578" s="72"/>
      <c r="C578" s="48"/>
    </row>
    <row r="579" spans="2:3" ht="14" customHeight="1" x14ac:dyDescent="0.15">
      <c r="B579" s="72"/>
      <c r="C579" s="48"/>
    </row>
    <row r="580" spans="2:3" ht="14" customHeight="1" x14ac:dyDescent="0.15">
      <c r="B580" s="72"/>
      <c r="C580" s="48"/>
    </row>
    <row r="581" spans="2:3" ht="14" customHeight="1" x14ac:dyDescent="0.15">
      <c r="B581" s="72"/>
      <c r="C581" s="48"/>
    </row>
    <row r="582" spans="2:3" ht="14" customHeight="1" x14ac:dyDescent="0.15">
      <c r="B582" s="72"/>
      <c r="C582" s="48"/>
    </row>
    <row r="583" spans="2:3" ht="14" customHeight="1" x14ac:dyDescent="0.15">
      <c r="B583" s="72"/>
      <c r="C583" s="48"/>
    </row>
    <row r="584" spans="2:3" ht="14" customHeight="1" x14ac:dyDescent="0.15">
      <c r="B584" s="72"/>
      <c r="C584" s="48"/>
    </row>
    <row r="585" spans="2:3" ht="14" customHeight="1" x14ac:dyDescent="0.15">
      <c r="B585" s="72"/>
      <c r="C585" s="48"/>
    </row>
    <row r="586" spans="2:3" ht="14" customHeight="1" x14ac:dyDescent="0.15">
      <c r="B586" s="72"/>
      <c r="C586" s="48"/>
    </row>
    <row r="587" spans="2:3" ht="14" customHeight="1" x14ac:dyDescent="0.15">
      <c r="B587" s="72"/>
      <c r="C587" s="48"/>
    </row>
    <row r="588" spans="2:3" ht="14" customHeight="1" x14ac:dyDescent="0.15">
      <c r="B588" s="72"/>
      <c r="C588" s="48"/>
    </row>
    <row r="589" spans="2:3" ht="14" customHeight="1" x14ac:dyDescent="0.15">
      <c r="B589" s="72"/>
      <c r="C589" s="48"/>
    </row>
    <row r="590" spans="2:3" ht="14" customHeight="1" x14ac:dyDescent="0.15">
      <c r="B590" s="72"/>
      <c r="C590" s="48"/>
    </row>
    <row r="591" spans="2:3" ht="14" customHeight="1" x14ac:dyDescent="0.15">
      <c r="B591" s="72"/>
      <c r="C591" s="48"/>
    </row>
    <row r="592" spans="2:3" ht="14" customHeight="1" x14ac:dyDescent="0.15">
      <c r="B592" s="72"/>
      <c r="C592" s="48"/>
    </row>
    <row r="593" spans="2:3" ht="14" customHeight="1" x14ac:dyDescent="0.15">
      <c r="B593" s="72"/>
      <c r="C593" s="48"/>
    </row>
    <row r="594" spans="2:3" ht="14" customHeight="1" x14ac:dyDescent="0.15">
      <c r="B594" s="72"/>
      <c r="C594" s="48"/>
    </row>
    <row r="595" spans="2:3" ht="14" customHeight="1" x14ac:dyDescent="0.15">
      <c r="B595" s="72"/>
      <c r="C595" s="48"/>
    </row>
    <row r="596" spans="2:3" ht="14" customHeight="1" x14ac:dyDescent="0.15">
      <c r="B596" s="72"/>
      <c r="C596" s="48"/>
    </row>
    <row r="597" spans="2:3" ht="14" customHeight="1" x14ac:dyDescent="0.15">
      <c r="B597" s="72"/>
      <c r="C597" s="48"/>
    </row>
    <row r="598" spans="2:3" ht="14" customHeight="1" x14ac:dyDescent="0.15">
      <c r="B598" s="72"/>
      <c r="C598" s="48"/>
    </row>
    <row r="599" spans="2:3" ht="14" customHeight="1" x14ac:dyDescent="0.15">
      <c r="B599" s="72"/>
      <c r="C599" s="48"/>
    </row>
    <row r="600" spans="2:3" ht="14" customHeight="1" x14ac:dyDescent="0.15">
      <c r="B600" s="72"/>
      <c r="C600" s="48"/>
    </row>
    <row r="601" spans="2:3" ht="14" customHeight="1" x14ac:dyDescent="0.15">
      <c r="B601" s="72"/>
      <c r="C601" s="48"/>
    </row>
    <row r="602" spans="2:3" ht="14" customHeight="1" x14ac:dyDescent="0.15">
      <c r="B602" s="72"/>
      <c r="C602" s="48"/>
    </row>
    <row r="603" spans="2:3" ht="14" customHeight="1" x14ac:dyDescent="0.15">
      <c r="B603" s="72"/>
      <c r="C603" s="48"/>
    </row>
    <row r="604" spans="2:3" ht="14" customHeight="1" x14ac:dyDescent="0.15">
      <c r="B604" s="72"/>
      <c r="C604" s="48"/>
    </row>
    <row r="605" spans="2:3" ht="14" customHeight="1" x14ac:dyDescent="0.15">
      <c r="B605" s="72"/>
      <c r="C605" s="48"/>
    </row>
    <row r="606" spans="2:3" ht="14" customHeight="1" x14ac:dyDescent="0.15">
      <c r="B606" s="72"/>
      <c r="C606" s="48"/>
    </row>
    <row r="607" spans="2:3" ht="14" customHeight="1" x14ac:dyDescent="0.15">
      <c r="B607" s="72"/>
      <c r="C607" s="48"/>
    </row>
    <row r="608" spans="2:3" ht="14" customHeight="1" x14ac:dyDescent="0.15">
      <c r="B608" s="72"/>
      <c r="C608" s="48"/>
    </row>
    <row r="609" spans="2:3" ht="14" customHeight="1" x14ac:dyDescent="0.15">
      <c r="B609" s="72"/>
      <c r="C609" s="48"/>
    </row>
    <row r="610" spans="2:3" ht="14" customHeight="1" x14ac:dyDescent="0.15">
      <c r="B610" s="72"/>
      <c r="C610" s="48"/>
    </row>
    <row r="611" spans="2:3" ht="14" customHeight="1" x14ac:dyDescent="0.15">
      <c r="B611" s="72"/>
      <c r="C611" s="48"/>
    </row>
    <row r="612" spans="2:3" ht="14" customHeight="1" x14ac:dyDescent="0.15">
      <c r="B612" s="72"/>
      <c r="C612" s="48"/>
    </row>
    <row r="613" spans="2:3" ht="14" customHeight="1" x14ac:dyDescent="0.15">
      <c r="B613" s="72"/>
      <c r="C613" s="48"/>
    </row>
    <row r="614" spans="2:3" ht="14" customHeight="1" x14ac:dyDescent="0.15">
      <c r="B614" s="72"/>
      <c r="C614" s="48"/>
    </row>
    <row r="615" spans="2:3" ht="14" customHeight="1" x14ac:dyDescent="0.15">
      <c r="B615" s="72"/>
      <c r="C615" s="48"/>
    </row>
    <row r="616" spans="2:3" ht="14" customHeight="1" x14ac:dyDescent="0.15">
      <c r="B616" s="72"/>
      <c r="C616" s="48"/>
    </row>
    <row r="617" spans="2:3" ht="14" customHeight="1" x14ac:dyDescent="0.15">
      <c r="B617" s="72"/>
      <c r="C617" s="48"/>
    </row>
    <row r="618" spans="2:3" ht="14" customHeight="1" x14ac:dyDescent="0.15">
      <c r="B618" s="72"/>
      <c r="C618" s="48"/>
    </row>
    <row r="619" spans="2:3" ht="14" customHeight="1" x14ac:dyDescent="0.15">
      <c r="B619" s="72"/>
      <c r="C619" s="48"/>
    </row>
    <row r="620" spans="2:3" ht="14" customHeight="1" x14ac:dyDescent="0.15">
      <c r="B620" s="72"/>
      <c r="C620" s="48"/>
    </row>
    <row r="621" spans="2:3" ht="14" customHeight="1" x14ac:dyDescent="0.15">
      <c r="B621" s="72"/>
      <c r="C621" s="48"/>
    </row>
    <row r="622" spans="2:3" ht="14" customHeight="1" x14ac:dyDescent="0.15">
      <c r="B622" s="72"/>
      <c r="C622" s="48"/>
    </row>
    <row r="623" spans="2:3" ht="14" customHeight="1" x14ac:dyDescent="0.15">
      <c r="B623" s="72"/>
      <c r="C623" s="48"/>
    </row>
    <row r="624" spans="2:3" ht="14" customHeight="1" x14ac:dyDescent="0.15">
      <c r="B624" s="72"/>
      <c r="C624" s="48"/>
    </row>
    <row r="625" spans="2:3" ht="14" customHeight="1" x14ac:dyDescent="0.15">
      <c r="B625" s="72"/>
      <c r="C625" s="48"/>
    </row>
    <row r="626" spans="2:3" ht="14" customHeight="1" x14ac:dyDescent="0.15">
      <c r="B626" s="72"/>
      <c r="C626" s="48"/>
    </row>
    <row r="627" spans="2:3" ht="14" customHeight="1" x14ac:dyDescent="0.15">
      <c r="B627" s="72"/>
      <c r="C627" s="48"/>
    </row>
    <row r="628" spans="2:3" ht="14" customHeight="1" x14ac:dyDescent="0.15">
      <c r="B628" s="72"/>
      <c r="C628" s="48"/>
    </row>
    <row r="629" spans="2:3" ht="14" customHeight="1" x14ac:dyDescent="0.15">
      <c r="B629" s="72"/>
      <c r="C629" s="48"/>
    </row>
    <row r="630" spans="2:3" ht="14" customHeight="1" x14ac:dyDescent="0.15">
      <c r="B630" s="72"/>
      <c r="C630" s="48"/>
    </row>
    <row r="631" spans="2:3" ht="14" customHeight="1" x14ac:dyDescent="0.15">
      <c r="B631" s="72"/>
      <c r="C631" s="48"/>
    </row>
    <row r="632" spans="2:3" ht="14" customHeight="1" x14ac:dyDescent="0.15">
      <c r="B632" s="72"/>
      <c r="C632" s="48"/>
    </row>
    <row r="633" spans="2:3" ht="14" customHeight="1" x14ac:dyDescent="0.15">
      <c r="B633" s="72"/>
      <c r="C633" s="48"/>
    </row>
    <row r="634" spans="2:3" ht="14" customHeight="1" x14ac:dyDescent="0.15">
      <c r="B634" s="72"/>
      <c r="C634" s="48"/>
    </row>
    <row r="635" spans="2:3" ht="14" customHeight="1" x14ac:dyDescent="0.15">
      <c r="B635" s="72"/>
      <c r="C635" s="48"/>
    </row>
    <row r="636" spans="2:3" ht="14" customHeight="1" x14ac:dyDescent="0.15">
      <c r="B636" s="72"/>
      <c r="C636" s="48"/>
    </row>
    <row r="637" spans="2:3" ht="14" customHeight="1" x14ac:dyDescent="0.15">
      <c r="B637" s="72"/>
      <c r="C637" s="48"/>
    </row>
    <row r="638" spans="2:3" ht="14" customHeight="1" x14ac:dyDescent="0.15">
      <c r="B638" s="72"/>
      <c r="C638" s="48"/>
    </row>
    <row r="639" spans="2:3" ht="14" customHeight="1" x14ac:dyDescent="0.15">
      <c r="B639" s="72"/>
      <c r="C639" s="48"/>
    </row>
    <row r="640" spans="2:3" ht="14" customHeight="1" x14ac:dyDescent="0.15">
      <c r="B640" s="72"/>
      <c r="C640" s="48"/>
    </row>
    <row r="641" spans="2:3" ht="14" customHeight="1" x14ac:dyDescent="0.15">
      <c r="B641" s="72"/>
      <c r="C641" s="48"/>
    </row>
    <row r="642" spans="2:3" ht="14" customHeight="1" x14ac:dyDescent="0.15">
      <c r="B642" s="72"/>
      <c r="C642" s="48"/>
    </row>
    <row r="643" spans="2:3" ht="14" customHeight="1" x14ac:dyDescent="0.15">
      <c r="B643" s="72"/>
      <c r="C643" s="48"/>
    </row>
    <row r="644" spans="2:3" ht="14" customHeight="1" x14ac:dyDescent="0.15">
      <c r="B644" s="72"/>
      <c r="C644" s="48"/>
    </row>
    <row r="645" spans="2:3" ht="14" customHeight="1" x14ac:dyDescent="0.15">
      <c r="B645" s="72"/>
      <c r="C645" s="48"/>
    </row>
    <row r="646" spans="2:3" ht="14" customHeight="1" x14ac:dyDescent="0.15">
      <c r="B646" s="72"/>
      <c r="C646" s="48"/>
    </row>
    <row r="647" spans="2:3" ht="14" customHeight="1" x14ac:dyDescent="0.15">
      <c r="B647" s="72"/>
      <c r="C647" s="48"/>
    </row>
    <row r="648" spans="2:3" ht="14" customHeight="1" x14ac:dyDescent="0.15">
      <c r="B648" s="72"/>
      <c r="C648" s="48"/>
    </row>
    <row r="649" spans="2:3" ht="14" customHeight="1" x14ac:dyDescent="0.15">
      <c r="B649" s="72"/>
      <c r="C649" s="48"/>
    </row>
    <row r="650" spans="2:3" ht="14" customHeight="1" x14ac:dyDescent="0.15">
      <c r="B650" s="72"/>
      <c r="C650" s="48"/>
    </row>
    <row r="651" spans="2:3" ht="14" customHeight="1" x14ac:dyDescent="0.15">
      <c r="B651" s="72"/>
      <c r="C651" s="48"/>
    </row>
    <row r="652" spans="2:3" ht="14" customHeight="1" x14ac:dyDescent="0.15">
      <c r="B652" s="72"/>
      <c r="C652" s="48"/>
    </row>
    <row r="653" spans="2:3" ht="14" customHeight="1" x14ac:dyDescent="0.15">
      <c r="B653" s="72"/>
      <c r="C653" s="48"/>
    </row>
    <row r="654" spans="2:3" ht="14" customHeight="1" x14ac:dyDescent="0.15">
      <c r="B654" s="72"/>
      <c r="C654" s="48"/>
    </row>
    <row r="655" spans="2:3" ht="14" customHeight="1" x14ac:dyDescent="0.15">
      <c r="B655" s="72"/>
      <c r="C655" s="48"/>
    </row>
    <row r="656" spans="2:3" ht="14" customHeight="1" x14ac:dyDescent="0.15">
      <c r="B656" s="72"/>
      <c r="C656" s="48"/>
    </row>
    <row r="657" spans="2:3" ht="14" customHeight="1" x14ac:dyDescent="0.15">
      <c r="B657" s="72"/>
      <c r="C657" s="48"/>
    </row>
    <row r="658" spans="2:3" ht="14" customHeight="1" x14ac:dyDescent="0.15">
      <c r="B658" s="72"/>
      <c r="C658" s="48"/>
    </row>
    <row r="659" spans="2:3" ht="14" customHeight="1" x14ac:dyDescent="0.15">
      <c r="B659" s="72"/>
      <c r="C659" s="48"/>
    </row>
    <row r="660" spans="2:3" ht="14" customHeight="1" x14ac:dyDescent="0.15">
      <c r="B660" s="72"/>
      <c r="C660" s="48"/>
    </row>
    <row r="661" spans="2:3" ht="14" customHeight="1" x14ac:dyDescent="0.15">
      <c r="B661" s="72"/>
      <c r="C661" s="48"/>
    </row>
    <row r="662" spans="2:3" ht="14" customHeight="1" x14ac:dyDescent="0.15">
      <c r="B662" s="72"/>
      <c r="C662" s="48"/>
    </row>
    <row r="663" spans="2:3" ht="14" customHeight="1" x14ac:dyDescent="0.15">
      <c r="B663" s="72"/>
      <c r="C663" s="48"/>
    </row>
    <row r="664" spans="2:3" ht="14" customHeight="1" x14ac:dyDescent="0.15">
      <c r="B664" s="72"/>
      <c r="C664" s="48"/>
    </row>
    <row r="665" spans="2:3" ht="14" customHeight="1" x14ac:dyDescent="0.15">
      <c r="B665" s="72"/>
      <c r="C665" s="48"/>
    </row>
    <row r="666" spans="2:3" ht="14" customHeight="1" x14ac:dyDescent="0.15">
      <c r="B666" s="72"/>
      <c r="C666" s="48"/>
    </row>
    <row r="667" spans="2:3" ht="14" customHeight="1" x14ac:dyDescent="0.15">
      <c r="B667" s="72"/>
      <c r="C667" s="48"/>
    </row>
    <row r="668" spans="2:3" ht="14" customHeight="1" x14ac:dyDescent="0.15">
      <c r="B668" s="72"/>
      <c r="C668" s="48"/>
    </row>
    <row r="669" spans="2:3" ht="14" customHeight="1" x14ac:dyDescent="0.15">
      <c r="B669" s="72"/>
      <c r="C669" s="48"/>
    </row>
    <row r="670" spans="2:3" ht="14" customHeight="1" x14ac:dyDescent="0.15">
      <c r="B670" s="72"/>
      <c r="C670" s="48"/>
    </row>
    <row r="671" spans="2:3" ht="14" customHeight="1" x14ac:dyDescent="0.15">
      <c r="B671" s="72"/>
      <c r="C671" s="48"/>
    </row>
    <row r="672" spans="2:3" ht="14" customHeight="1" x14ac:dyDescent="0.15">
      <c r="B672" s="72"/>
      <c r="C672" s="48"/>
    </row>
    <row r="673" spans="2:3" ht="14" customHeight="1" x14ac:dyDescent="0.15">
      <c r="B673" s="72"/>
      <c r="C673" s="48"/>
    </row>
    <row r="674" spans="2:3" ht="14" customHeight="1" x14ac:dyDescent="0.15">
      <c r="B674" s="72"/>
      <c r="C674" s="48"/>
    </row>
    <row r="675" spans="2:3" ht="14" customHeight="1" x14ac:dyDescent="0.15">
      <c r="B675" s="72"/>
      <c r="C675" s="48"/>
    </row>
    <row r="676" spans="2:3" ht="14" customHeight="1" x14ac:dyDescent="0.15">
      <c r="B676" s="72"/>
      <c r="C676" s="48"/>
    </row>
    <row r="677" spans="2:3" ht="14" customHeight="1" x14ac:dyDescent="0.15">
      <c r="B677" s="72"/>
      <c r="C677" s="48"/>
    </row>
    <row r="678" spans="2:3" ht="14" customHeight="1" x14ac:dyDescent="0.15">
      <c r="B678" s="72"/>
      <c r="C678" s="48"/>
    </row>
    <row r="679" spans="2:3" ht="14" customHeight="1" x14ac:dyDescent="0.15">
      <c r="B679" s="72"/>
      <c r="C679" s="48"/>
    </row>
    <row r="680" spans="2:3" ht="14" customHeight="1" x14ac:dyDescent="0.15">
      <c r="B680" s="72"/>
      <c r="C680" s="48"/>
    </row>
    <row r="681" spans="2:3" ht="14" customHeight="1" x14ac:dyDescent="0.15">
      <c r="B681" s="72"/>
      <c r="C681" s="48"/>
    </row>
    <row r="682" spans="2:3" ht="14" customHeight="1" x14ac:dyDescent="0.15">
      <c r="B682" s="72"/>
      <c r="C682" s="48"/>
    </row>
    <row r="683" spans="2:3" ht="14" customHeight="1" x14ac:dyDescent="0.15">
      <c r="B683" s="72"/>
      <c r="C683" s="48"/>
    </row>
    <row r="684" spans="2:3" ht="14" customHeight="1" x14ac:dyDescent="0.15">
      <c r="B684" s="72"/>
      <c r="C684" s="48"/>
    </row>
    <row r="685" spans="2:3" ht="14" customHeight="1" x14ac:dyDescent="0.15">
      <c r="B685" s="72"/>
      <c r="C685" s="48"/>
    </row>
    <row r="686" spans="2:3" ht="14" customHeight="1" x14ac:dyDescent="0.15">
      <c r="B686" s="72"/>
      <c r="C686" s="48"/>
    </row>
    <row r="687" spans="2:3" ht="14" customHeight="1" x14ac:dyDescent="0.15">
      <c r="B687" s="72"/>
      <c r="C687" s="48"/>
    </row>
    <row r="688" spans="2:3" ht="14" customHeight="1" x14ac:dyDescent="0.15">
      <c r="B688" s="72"/>
      <c r="C688" s="48"/>
    </row>
    <row r="689" spans="2:3" ht="14" customHeight="1" x14ac:dyDescent="0.15">
      <c r="B689" s="72"/>
      <c r="C689" s="48"/>
    </row>
    <row r="690" spans="2:3" ht="14" customHeight="1" x14ac:dyDescent="0.15">
      <c r="B690" s="72"/>
      <c r="C690" s="48"/>
    </row>
    <row r="691" spans="2:3" ht="14" customHeight="1" x14ac:dyDescent="0.15">
      <c r="B691" s="72"/>
      <c r="C691" s="48"/>
    </row>
    <row r="692" spans="2:3" ht="14" customHeight="1" x14ac:dyDescent="0.15">
      <c r="B692" s="72"/>
      <c r="C692" s="48"/>
    </row>
    <row r="693" spans="2:3" ht="14" customHeight="1" x14ac:dyDescent="0.15">
      <c r="B693" s="72"/>
      <c r="C693" s="48"/>
    </row>
    <row r="694" spans="2:3" ht="14" customHeight="1" x14ac:dyDescent="0.15">
      <c r="B694" s="72"/>
      <c r="C694" s="48"/>
    </row>
    <row r="695" spans="2:3" ht="14" customHeight="1" x14ac:dyDescent="0.15">
      <c r="B695" s="72"/>
      <c r="C695" s="48"/>
    </row>
    <row r="696" spans="2:3" ht="14" customHeight="1" x14ac:dyDescent="0.15">
      <c r="B696" s="72"/>
      <c r="C696" s="48"/>
    </row>
    <row r="697" spans="2:3" ht="14" customHeight="1" x14ac:dyDescent="0.15">
      <c r="B697" s="72"/>
      <c r="C697" s="48"/>
    </row>
    <row r="698" spans="2:3" ht="14" customHeight="1" x14ac:dyDescent="0.15">
      <c r="B698" s="72"/>
      <c r="C698" s="48"/>
    </row>
    <row r="699" spans="2:3" ht="14" customHeight="1" x14ac:dyDescent="0.15">
      <c r="B699" s="72"/>
      <c r="C699" s="48"/>
    </row>
    <row r="700" spans="2:3" ht="14" customHeight="1" x14ac:dyDescent="0.15">
      <c r="B700" s="72"/>
      <c r="C700" s="48"/>
    </row>
    <row r="701" spans="2:3" ht="14" customHeight="1" x14ac:dyDescent="0.15">
      <c r="B701" s="72"/>
      <c r="C701" s="48"/>
    </row>
    <row r="702" spans="2:3" ht="14" customHeight="1" x14ac:dyDescent="0.15">
      <c r="B702" s="72"/>
      <c r="C702" s="48"/>
    </row>
    <row r="703" spans="2:3" ht="14" customHeight="1" x14ac:dyDescent="0.15">
      <c r="B703" s="72"/>
      <c r="C703" s="48"/>
    </row>
    <row r="704" spans="2:3" ht="14" customHeight="1" x14ac:dyDescent="0.15">
      <c r="B704" s="72"/>
      <c r="C704" s="48"/>
    </row>
    <row r="705" spans="2:3" ht="14" customHeight="1" x14ac:dyDescent="0.15">
      <c r="B705" s="72"/>
      <c r="C705" s="48"/>
    </row>
    <row r="706" spans="2:3" ht="14" customHeight="1" x14ac:dyDescent="0.15">
      <c r="B706" s="72"/>
      <c r="C706" s="48"/>
    </row>
    <row r="707" spans="2:3" ht="14" customHeight="1" x14ac:dyDescent="0.15">
      <c r="B707" s="72"/>
      <c r="C707" s="48"/>
    </row>
    <row r="708" spans="2:3" ht="14" customHeight="1" x14ac:dyDescent="0.15">
      <c r="B708" s="72"/>
      <c r="C708" s="48"/>
    </row>
    <row r="709" spans="2:3" ht="14" customHeight="1" x14ac:dyDescent="0.15">
      <c r="B709" s="72"/>
      <c r="C709" s="48"/>
    </row>
    <row r="710" spans="2:3" ht="14" customHeight="1" x14ac:dyDescent="0.15">
      <c r="B710" s="72"/>
      <c r="C710" s="48"/>
    </row>
    <row r="711" spans="2:3" ht="14" customHeight="1" x14ac:dyDescent="0.15">
      <c r="B711" s="72"/>
      <c r="C711" s="48"/>
    </row>
    <row r="712" spans="2:3" ht="14" customHeight="1" x14ac:dyDescent="0.15">
      <c r="B712" s="72"/>
      <c r="C712" s="48"/>
    </row>
    <row r="713" spans="2:3" ht="14" customHeight="1" x14ac:dyDescent="0.15">
      <c r="B713" s="72"/>
      <c r="C713" s="48"/>
    </row>
    <row r="714" spans="2:3" ht="14" customHeight="1" x14ac:dyDescent="0.15">
      <c r="B714" s="72"/>
      <c r="C714" s="48"/>
    </row>
    <row r="715" spans="2:3" ht="14" customHeight="1" x14ac:dyDescent="0.15">
      <c r="B715" s="72"/>
      <c r="C715" s="48"/>
    </row>
    <row r="716" spans="2:3" ht="14" customHeight="1" x14ac:dyDescent="0.15">
      <c r="B716" s="72"/>
      <c r="C716" s="48"/>
    </row>
    <row r="717" spans="2:3" ht="14" customHeight="1" x14ac:dyDescent="0.15">
      <c r="B717" s="72"/>
      <c r="C717" s="48"/>
    </row>
    <row r="718" spans="2:3" ht="14" customHeight="1" x14ac:dyDescent="0.15">
      <c r="B718" s="72"/>
      <c r="C718" s="48"/>
    </row>
    <row r="719" spans="2:3" ht="14" customHeight="1" x14ac:dyDescent="0.15">
      <c r="B719" s="72"/>
      <c r="C719" s="48"/>
    </row>
    <row r="720" spans="2:3" ht="14" customHeight="1" x14ac:dyDescent="0.15">
      <c r="B720" s="72"/>
      <c r="C720" s="48"/>
    </row>
    <row r="721" spans="2:3" ht="14" customHeight="1" x14ac:dyDescent="0.15">
      <c r="B721" s="72"/>
      <c r="C721" s="48"/>
    </row>
    <row r="722" spans="2:3" ht="14" customHeight="1" x14ac:dyDescent="0.15">
      <c r="B722" s="72"/>
      <c r="C722" s="48"/>
    </row>
    <row r="723" spans="2:3" ht="14" customHeight="1" x14ac:dyDescent="0.15">
      <c r="B723" s="72"/>
      <c r="C723" s="48"/>
    </row>
    <row r="724" spans="2:3" ht="14" customHeight="1" x14ac:dyDescent="0.15">
      <c r="B724" s="72"/>
      <c r="C724" s="48"/>
    </row>
    <row r="725" spans="2:3" ht="14" customHeight="1" x14ac:dyDescent="0.15">
      <c r="B725" s="72"/>
      <c r="C725" s="48"/>
    </row>
    <row r="726" spans="2:3" ht="14" customHeight="1" x14ac:dyDescent="0.15">
      <c r="B726" s="72"/>
      <c r="C726" s="48"/>
    </row>
    <row r="727" spans="2:3" ht="14" customHeight="1" x14ac:dyDescent="0.15">
      <c r="B727" s="72"/>
      <c r="C727" s="48"/>
    </row>
    <row r="728" spans="2:3" ht="14" customHeight="1" x14ac:dyDescent="0.15">
      <c r="B728" s="72"/>
      <c r="C728" s="48"/>
    </row>
    <row r="729" spans="2:3" ht="14" customHeight="1" x14ac:dyDescent="0.15">
      <c r="B729" s="72"/>
      <c r="C729" s="48"/>
    </row>
    <row r="730" spans="2:3" ht="14" customHeight="1" x14ac:dyDescent="0.15">
      <c r="B730" s="72"/>
      <c r="C730" s="48"/>
    </row>
    <row r="731" spans="2:3" ht="14" customHeight="1" x14ac:dyDescent="0.15">
      <c r="B731" s="72"/>
      <c r="C731" s="48"/>
    </row>
    <row r="732" spans="2:3" ht="14" customHeight="1" x14ac:dyDescent="0.15">
      <c r="B732" s="72"/>
      <c r="C732" s="48"/>
    </row>
    <row r="733" spans="2:3" ht="14" customHeight="1" x14ac:dyDescent="0.15">
      <c r="B733" s="72"/>
      <c r="C733" s="48"/>
    </row>
    <row r="734" spans="2:3" ht="14" customHeight="1" x14ac:dyDescent="0.15">
      <c r="B734" s="72"/>
      <c r="C734" s="48"/>
    </row>
    <row r="735" spans="2:3" ht="14" customHeight="1" x14ac:dyDescent="0.15">
      <c r="B735" s="72"/>
      <c r="C735" s="48"/>
    </row>
    <row r="736" spans="2:3" ht="14" customHeight="1" x14ac:dyDescent="0.15">
      <c r="B736" s="72"/>
      <c r="C736" s="48"/>
    </row>
    <row r="737" spans="2:3" ht="14" customHeight="1" x14ac:dyDescent="0.15">
      <c r="B737" s="72"/>
      <c r="C737" s="48"/>
    </row>
    <row r="738" spans="2:3" ht="14" customHeight="1" x14ac:dyDescent="0.15">
      <c r="B738" s="72"/>
      <c r="C738" s="48"/>
    </row>
    <row r="739" spans="2:3" ht="14" customHeight="1" x14ac:dyDescent="0.15">
      <c r="B739" s="72"/>
      <c r="C739" s="48"/>
    </row>
    <row r="740" spans="2:3" ht="14" customHeight="1" x14ac:dyDescent="0.15">
      <c r="B740" s="72"/>
      <c r="C740" s="48"/>
    </row>
    <row r="741" spans="2:3" ht="14" customHeight="1" x14ac:dyDescent="0.15">
      <c r="B741" s="72"/>
      <c r="C741" s="48"/>
    </row>
    <row r="742" spans="2:3" ht="14" customHeight="1" x14ac:dyDescent="0.15">
      <c r="B742" s="72"/>
      <c r="C742" s="48"/>
    </row>
    <row r="743" spans="2:3" ht="14" customHeight="1" x14ac:dyDescent="0.15">
      <c r="B743" s="72"/>
      <c r="C743" s="48"/>
    </row>
    <row r="744" spans="2:3" ht="14" customHeight="1" x14ac:dyDescent="0.15">
      <c r="B744" s="72"/>
      <c r="C744" s="48"/>
    </row>
    <row r="745" spans="2:3" ht="14" customHeight="1" x14ac:dyDescent="0.15">
      <c r="B745" s="72"/>
      <c r="C745" s="48"/>
    </row>
    <row r="746" spans="2:3" ht="14" customHeight="1" x14ac:dyDescent="0.15">
      <c r="B746" s="72"/>
      <c r="C746" s="48"/>
    </row>
    <row r="747" spans="2:3" ht="14" customHeight="1" x14ac:dyDescent="0.15">
      <c r="B747" s="72"/>
      <c r="C747" s="48"/>
    </row>
    <row r="748" spans="2:3" ht="14" customHeight="1" x14ac:dyDescent="0.15">
      <c r="B748" s="72"/>
      <c r="C748" s="48"/>
    </row>
    <row r="749" spans="2:3" ht="14" customHeight="1" x14ac:dyDescent="0.15">
      <c r="B749" s="72"/>
      <c r="C749" s="48"/>
    </row>
    <row r="750" spans="2:3" ht="14" customHeight="1" x14ac:dyDescent="0.15">
      <c r="B750" s="72"/>
      <c r="C750" s="48"/>
    </row>
    <row r="751" spans="2:3" ht="14" customHeight="1" x14ac:dyDescent="0.15">
      <c r="B751" s="72"/>
      <c r="C751" s="48"/>
    </row>
    <row r="752" spans="2:3" ht="14" customHeight="1" x14ac:dyDescent="0.15">
      <c r="B752" s="72"/>
      <c r="C752" s="48"/>
    </row>
    <row r="753" spans="2:3" ht="14" customHeight="1" x14ac:dyDescent="0.15">
      <c r="B753" s="72"/>
      <c r="C753" s="48"/>
    </row>
    <row r="754" spans="2:3" ht="14" customHeight="1" x14ac:dyDescent="0.15">
      <c r="B754" s="72"/>
      <c r="C754" s="48"/>
    </row>
    <row r="755" spans="2:3" ht="14" customHeight="1" x14ac:dyDescent="0.15">
      <c r="B755" s="72"/>
      <c r="C755" s="48"/>
    </row>
    <row r="756" spans="2:3" ht="14" customHeight="1" x14ac:dyDescent="0.15">
      <c r="B756" s="72"/>
      <c r="C756" s="48"/>
    </row>
    <row r="757" spans="2:3" ht="14" customHeight="1" x14ac:dyDescent="0.15">
      <c r="B757" s="72"/>
      <c r="C757" s="48"/>
    </row>
    <row r="758" spans="2:3" ht="14" customHeight="1" x14ac:dyDescent="0.15">
      <c r="B758" s="72"/>
      <c r="C758" s="48"/>
    </row>
    <row r="759" spans="2:3" ht="14" customHeight="1" x14ac:dyDescent="0.15">
      <c r="B759" s="72"/>
      <c r="C759" s="48"/>
    </row>
    <row r="760" spans="2:3" ht="14" customHeight="1" x14ac:dyDescent="0.15">
      <c r="B760" s="72"/>
      <c r="C760" s="48"/>
    </row>
    <row r="761" spans="2:3" ht="14" customHeight="1" x14ac:dyDescent="0.15">
      <c r="B761" s="72"/>
      <c r="C761" s="48"/>
    </row>
    <row r="762" spans="2:3" ht="14" customHeight="1" x14ac:dyDescent="0.15">
      <c r="B762" s="72"/>
      <c r="C762" s="48"/>
    </row>
    <row r="763" spans="2:3" ht="14" customHeight="1" x14ac:dyDescent="0.15">
      <c r="B763" s="72"/>
      <c r="C763" s="48"/>
    </row>
    <row r="764" spans="2:3" ht="14" customHeight="1" x14ac:dyDescent="0.15">
      <c r="B764" s="72"/>
      <c r="C764" s="48"/>
    </row>
    <row r="765" spans="2:3" ht="14" customHeight="1" x14ac:dyDescent="0.15">
      <c r="B765" s="72"/>
      <c r="C765" s="48"/>
    </row>
    <row r="766" spans="2:3" ht="14" customHeight="1" x14ac:dyDescent="0.15">
      <c r="B766" s="72"/>
      <c r="C766" s="48"/>
    </row>
    <row r="767" spans="2:3" ht="14" customHeight="1" x14ac:dyDescent="0.15">
      <c r="B767" s="72"/>
      <c r="C767" s="48"/>
    </row>
    <row r="768" spans="2:3" ht="14" customHeight="1" x14ac:dyDescent="0.15">
      <c r="B768" s="72"/>
      <c r="C768" s="48"/>
    </row>
    <row r="769" spans="2:3" ht="14" customHeight="1" x14ac:dyDescent="0.15">
      <c r="B769" s="72"/>
      <c r="C769" s="48"/>
    </row>
    <row r="770" spans="2:3" ht="14" customHeight="1" x14ac:dyDescent="0.15">
      <c r="B770" s="72"/>
      <c r="C770" s="48"/>
    </row>
    <row r="771" spans="2:3" ht="14" customHeight="1" x14ac:dyDescent="0.15">
      <c r="B771" s="72"/>
      <c r="C771" s="48"/>
    </row>
    <row r="772" spans="2:3" ht="14" customHeight="1" x14ac:dyDescent="0.15">
      <c r="B772" s="72"/>
      <c r="C772" s="48"/>
    </row>
    <row r="773" spans="2:3" ht="14" customHeight="1" x14ac:dyDescent="0.15">
      <c r="B773" s="72"/>
      <c r="C773" s="48"/>
    </row>
    <row r="774" spans="2:3" ht="14" customHeight="1" x14ac:dyDescent="0.15">
      <c r="B774" s="72"/>
      <c r="C774" s="48"/>
    </row>
    <row r="775" spans="2:3" ht="14" customHeight="1" x14ac:dyDescent="0.15">
      <c r="B775" s="72"/>
      <c r="C775" s="48"/>
    </row>
    <row r="776" spans="2:3" ht="14" customHeight="1" x14ac:dyDescent="0.15">
      <c r="B776" s="72"/>
      <c r="C776" s="48"/>
    </row>
    <row r="777" spans="2:3" ht="14" customHeight="1" x14ac:dyDescent="0.15">
      <c r="B777" s="72"/>
      <c r="C777" s="48"/>
    </row>
    <row r="778" spans="2:3" ht="14" customHeight="1" x14ac:dyDescent="0.15">
      <c r="B778" s="72"/>
      <c r="C778" s="48"/>
    </row>
    <row r="779" spans="2:3" ht="14" customHeight="1" x14ac:dyDescent="0.15">
      <c r="B779" s="72"/>
      <c r="C779" s="48"/>
    </row>
    <row r="780" spans="2:3" ht="14" customHeight="1" x14ac:dyDescent="0.15">
      <c r="B780" s="72"/>
      <c r="C780" s="48"/>
    </row>
    <row r="781" spans="2:3" ht="14" customHeight="1" x14ac:dyDescent="0.15">
      <c r="B781" s="72"/>
      <c r="C781" s="48"/>
    </row>
    <row r="782" spans="2:3" ht="14" customHeight="1" x14ac:dyDescent="0.15">
      <c r="B782" s="72"/>
      <c r="C782" s="48"/>
    </row>
    <row r="783" spans="2:3" ht="14" customHeight="1" x14ac:dyDescent="0.15">
      <c r="B783" s="72"/>
      <c r="C783" s="48"/>
    </row>
    <row r="784" spans="2:3" ht="14" customHeight="1" x14ac:dyDescent="0.15">
      <c r="B784" s="72"/>
      <c r="C784" s="48"/>
    </row>
    <row r="785" spans="2:3" ht="14" customHeight="1" x14ac:dyDescent="0.15">
      <c r="B785" s="72"/>
      <c r="C785" s="48"/>
    </row>
    <row r="786" spans="2:3" ht="14" customHeight="1" x14ac:dyDescent="0.15">
      <c r="B786" s="72"/>
      <c r="C786" s="48"/>
    </row>
    <row r="787" spans="2:3" ht="14" customHeight="1" x14ac:dyDescent="0.15">
      <c r="B787" s="72"/>
      <c r="C787" s="48"/>
    </row>
    <row r="788" spans="2:3" ht="14" customHeight="1" x14ac:dyDescent="0.15">
      <c r="B788" s="72"/>
      <c r="C788" s="48"/>
    </row>
    <row r="789" spans="2:3" ht="14" customHeight="1" x14ac:dyDescent="0.15">
      <c r="B789" s="72"/>
      <c r="C789" s="48"/>
    </row>
    <row r="790" spans="2:3" ht="14" customHeight="1" x14ac:dyDescent="0.15">
      <c r="B790" s="72"/>
      <c r="C790" s="48"/>
    </row>
    <row r="791" spans="2:3" ht="14" customHeight="1" x14ac:dyDescent="0.15">
      <c r="B791" s="72"/>
      <c r="C791" s="48"/>
    </row>
    <row r="792" spans="2:3" ht="14" customHeight="1" x14ac:dyDescent="0.15">
      <c r="B792" s="72"/>
      <c r="C792" s="48"/>
    </row>
    <row r="793" spans="2:3" ht="14" customHeight="1" x14ac:dyDescent="0.15">
      <c r="B793" s="72"/>
      <c r="C793" s="48"/>
    </row>
    <row r="794" spans="2:3" ht="14" customHeight="1" x14ac:dyDescent="0.15">
      <c r="B794" s="72"/>
      <c r="C794" s="48"/>
    </row>
    <row r="795" spans="2:3" ht="14" customHeight="1" x14ac:dyDescent="0.15">
      <c r="B795" s="72"/>
      <c r="C795" s="48"/>
    </row>
    <row r="796" spans="2:3" ht="14" customHeight="1" x14ac:dyDescent="0.15">
      <c r="B796" s="72"/>
      <c r="C796" s="48"/>
    </row>
    <row r="797" spans="2:3" ht="14" customHeight="1" x14ac:dyDescent="0.15">
      <c r="B797" s="72"/>
      <c r="C797" s="48"/>
    </row>
    <row r="798" spans="2:3" ht="14" customHeight="1" x14ac:dyDescent="0.15">
      <c r="B798" s="72"/>
      <c r="C798" s="48"/>
    </row>
    <row r="799" spans="2:3" ht="14" customHeight="1" x14ac:dyDescent="0.15">
      <c r="B799" s="72"/>
      <c r="C799" s="48"/>
    </row>
    <row r="800" spans="2:3" ht="14" customHeight="1" x14ac:dyDescent="0.15">
      <c r="B800" s="72"/>
      <c r="C800" s="48"/>
    </row>
    <row r="801" spans="2:3" ht="14" customHeight="1" x14ac:dyDescent="0.15">
      <c r="B801" s="72"/>
      <c r="C801" s="48"/>
    </row>
    <row r="802" spans="2:3" ht="14" customHeight="1" x14ac:dyDescent="0.15">
      <c r="B802" s="72"/>
      <c r="C802" s="48"/>
    </row>
    <row r="803" spans="2:3" ht="14" customHeight="1" x14ac:dyDescent="0.15">
      <c r="B803" s="72"/>
      <c r="C803" s="48"/>
    </row>
    <row r="804" spans="2:3" ht="14" customHeight="1" x14ac:dyDescent="0.15">
      <c r="B804" s="72"/>
      <c r="C804" s="48"/>
    </row>
    <row r="805" spans="2:3" ht="14" customHeight="1" x14ac:dyDescent="0.15">
      <c r="B805" s="72"/>
      <c r="C805" s="48"/>
    </row>
    <row r="806" spans="2:3" ht="14" customHeight="1" x14ac:dyDescent="0.15">
      <c r="B806" s="72"/>
      <c r="C806" s="48"/>
    </row>
    <row r="807" spans="2:3" ht="14" customHeight="1" x14ac:dyDescent="0.15">
      <c r="B807" s="72"/>
      <c r="C807" s="48"/>
    </row>
    <row r="808" spans="2:3" ht="14" customHeight="1" x14ac:dyDescent="0.15">
      <c r="B808" s="72"/>
      <c r="C808" s="48"/>
    </row>
    <row r="809" spans="2:3" ht="14" customHeight="1" x14ac:dyDescent="0.15">
      <c r="B809" s="72"/>
      <c r="C809" s="48"/>
    </row>
    <row r="810" spans="2:3" ht="14" customHeight="1" x14ac:dyDescent="0.15">
      <c r="B810" s="72"/>
      <c r="C810" s="48"/>
    </row>
    <row r="811" spans="2:3" ht="14" customHeight="1" x14ac:dyDescent="0.15">
      <c r="B811" s="72"/>
      <c r="C811" s="48"/>
    </row>
    <row r="812" spans="2:3" ht="14" customHeight="1" x14ac:dyDescent="0.15">
      <c r="B812" s="72"/>
      <c r="C812" s="48"/>
    </row>
    <row r="813" spans="2:3" ht="14" customHeight="1" x14ac:dyDescent="0.15">
      <c r="B813" s="72"/>
      <c r="C813" s="48"/>
    </row>
    <row r="814" spans="2:3" ht="14" customHeight="1" x14ac:dyDescent="0.15">
      <c r="B814" s="72"/>
      <c r="C814" s="48"/>
    </row>
    <row r="815" spans="2:3" ht="14" customHeight="1" x14ac:dyDescent="0.15">
      <c r="B815" s="72"/>
      <c r="C815" s="48"/>
    </row>
    <row r="816" spans="2:3" ht="14" customHeight="1" x14ac:dyDescent="0.15">
      <c r="B816" s="72"/>
      <c r="C816" s="48"/>
    </row>
    <row r="817" spans="2:3" ht="14" customHeight="1" x14ac:dyDescent="0.15">
      <c r="B817" s="72"/>
      <c r="C817" s="48"/>
    </row>
    <row r="818" spans="2:3" ht="14" customHeight="1" x14ac:dyDescent="0.15">
      <c r="B818" s="72"/>
      <c r="C818" s="48"/>
    </row>
    <row r="819" spans="2:3" ht="14" customHeight="1" x14ac:dyDescent="0.15">
      <c r="B819" s="72"/>
      <c r="C819" s="48"/>
    </row>
    <row r="820" spans="2:3" ht="14" customHeight="1" x14ac:dyDescent="0.15">
      <c r="B820" s="72"/>
      <c r="C820" s="48"/>
    </row>
    <row r="821" spans="2:3" ht="14" customHeight="1" x14ac:dyDescent="0.15">
      <c r="B821" s="72"/>
      <c r="C821" s="48"/>
    </row>
    <row r="822" spans="2:3" ht="14" customHeight="1" x14ac:dyDescent="0.15">
      <c r="B822" s="72"/>
      <c r="C822" s="48"/>
    </row>
    <row r="823" spans="2:3" ht="14" customHeight="1" x14ac:dyDescent="0.15">
      <c r="B823" s="72"/>
      <c r="C823" s="48"/>
    </row>
    <row r="824" spans="2:3" ht="14" customHeight="1" x14ac:dyDescent="0.15">
      <c r="B824" s="72"/>
      <c r="C824" s="48"/>
    </row>
    <row r="825" spans="2:3" ht="14" customHeight="1" x14ac:dyDescent="0.15">
      <c r="B825" s="72"/>
      <c r="C825" s="48"/>
    </row>
    <row r="826" spans="2:3" ht="14" customHeight="1" x14ac:dyDescent="0.15">
      <c r="B826" s="72"/>
      <c r="C826" s="48"/>
    </row>
    <row r="827" spans="2:3" ht="14" customHeight="1" x14ac:dyDescent="0.15">
      <c r="B827" s="72"/>
      <c r="C827" s="48"/>
    </row>
    <row r="828" spans="2:3" ht="14" customHeight="1" x14ac:dyDescent="0.15">
      <c r="B828" s="72"/>
      <c r="C828" s="48"/>
    </row>
    <row r="829" spans="2:3" ht="14" customHeight="1" x14ac:dyDescent="0.15">
      <c r="B829" s="72"/>
      <c r="C829" s="48"/>
    </row>
    <row r="830" spans="2:3" ht="14" customHeight="1" x14ac:dyDescent="0.15">
      <c r="B830" s="72"/>
      <c r="C830" s="48"/>
    </row>
    <row r="831" spans="2:3" ht="14" customHeight="1" x14ac:dyDescent="0.15">
      <c r="B831" s="72"/>
      <c r="C831" s="48"/>
    </row>
    <row r="832" spans="2:3" ht="14" customHeight="1" x14ac:dyDescent="0.15">
      <c r="B832" s="72"/>
      <c r="C832" s="48"/>
    </row>
    <row r="833" spans="2:3" ht="14" customHeight="1" x14ac:dyDescent="0.15">
      <c r="B833" s="72"/>
      <c r="C833" s="48"/>
    </row>
    <row r="834" spans="2:3" ht="14" customHeight="1" x14ac:dyDescent="0.15">
      <c r="B834" s="72"/>
      <c r="C834" s="48"/>
    </row>
    <row r="835" spans="2:3" ht="14" customHeight="1" x14ac:dyDescent="0.15">
      <c r="B835" s="72"/>
      <c r="C835" s="48"/>
    </row>
    <row r="836" spans="2:3" ht="14" customHeight="1" x14ac:dyDescent="0.15">
      <c r="B836" s="72"/>
      <c r="C836" s="48"/>
    </row>
    <row r="837" spans="2:3" ht="14" customHeight="1" x14ac:dyDescent="0.15">
      <c r="B837" s="72"/>
      <c r="C837" s="48"/>
    </row>
    <row r="838" spans="2:3" ht="14" customHeight="1" x14ac:dyDescent="0.15">
      <c r="B838" s="72"/>
      <c r="C838" s="48"/>
    </row>
    <row r="839" spans="2:3" ht="14" customHeight="1" x14ac:dyDescent="0.15">
      <c r="B839" s="72"/>
      <c r="C839" s="48"/>
    </row>
    <row r="840" spans="2:3" ht="14" customHeight="1" x14ac:dyDescent="0.15">
      <c r="B840" s="72"/>
      <c r="C840" s="48"/>
    </row>
    <row r="841" spans="2:3" ht="14" customHeight="1" x14ac:dyDescent="0.15">
      <c r="B841" s="72"/>
      <c r="C841" s="48"/>
    </row>
    <row r="842" spans="2:3" ht="14" customHeight="1" x14ac:dyDescent="0.15">
      <c r="B842" s="72"/>
      <c r="C842" s="48"/>
    </row>
    <row r="843" spans="2:3" ht="14" customHeight="1" x14ac:dyDescent="0.15">
      <c r="B843" s="72"/>
      <c r="C843" s="48"/>
    </row>
    <row r="844" spans="2:3" ht="14" customHeight="1" x14ac:dyDescent="0.15">
      <c r="B844" s="72"/>
      <c r="C844" s="48"/>
    </row>
    <row r="845" spans="2:3" ht="14" customHeight="1" x14ac:dyDescent="0.15">
      <c r="B845" s="72"/>
      <c r="C845" s="48"/>
    </row>
    <row r="846" spans="2:3" ht="14" customHeight="1" x14ac:dyDescent="0.15">
      <c r="B846" s="72"/>
      <c r="C846" s="48"/>
    </row>
    <row r="847" spans="2:3" ht="14" customHeight="1" x14ac:dyDescent="0.15">
      <c r="B847" s="72"/>
      <c r="C847" s="48"/>
    </row>
    <row r="848" spans="2:3" ht="14" customHeight="1" x14ac:dyDescent="0.15">
      <c r="B848" s="72"/>
      <c r="C848" s="48"/>
    </row>
    <row r="849" spans="2:3" ht="14" customHeight="1" x14ac:dyDescent="0.15">
      <c r="B849" s="72"/>
      <c r="C849" s="48"/>
    </row>
    <row r="850" spans="2:3" ht="14" customHeight="1" x14ac:dyDescent="0.15">
      <c r="B850" s="72"/>
      <c r="C850" s="48"/>
    </row>
    <row r="851" spans="2:3" ht="14" customHeight="1" x14ac:dyDescent="0.15">
      <c r="B851" s="72"/>
      <c r="C851" s="48"/>
    </row>
    <row r="852" spans="2:3" ht="14" customHeight="1" x14ac:dyDescent="0.15">
      <c r="B852" s="72"/>
      <c r="C852" s="48"/>
    </row>
    <row r="853" spans="2:3" ht="14" customHeight="1" x14ac:dyDescent="0.15">
      <c r="B853" s="72"/>
      <c r="C853" s="48"/>
    </row>
    <row r="854" spans="2:3" ht="14" customHeight="1" x14ac:dyDescent="0.15">
      <c r="B854" s="72"/>
      <c r="C854" s="48"/>
    </row>
    <row r="855" spans="2:3" ht="14" customHeight="1" x14ac:dyDescent="0.15">
      <c r="B855" s="72"/>
      <c r="C855" s="48"/>
    </row>
    <row r="856" spans="2:3" ht="14" customHeight="1" x14ac:dyDescent="0.15">
      <c r="B856" s="72"/>
      <c r="C856" s="48"/>
    </row>
    <row r="857" spans="2:3" ht="14" customHeight="1" x14ac:dyDescent="0.15">
      <c r="B857" s="72"/>
      <c r="C857" s="48"/>
    </row>
    <row r="858" spans="2:3" ht="14" customHeight="1" x14ac:dyDescent="0.15">
      <c r="B858" s="72"/>
      <c r="C858" s="48"/>
    </row>
    <row r="859" spans="2:3" ht="14" customHeight="1" x14ac:dyDescent="0.15">
      <c r="B859" s="72"/>
      <c r="C859" s="48"/>
    </row>
    <row r="860" spans="2:3" ht="14" customHeight="1" x14ac:dyDescent="0.15">
      <c r="B860" s="72"/>
      <c r="C860" s="48"/>
    </row>
    <row r="861" spans="2:3" ht="14" customHeight="1" x14ac:dyDescent="0.15">
      <c r="B861" s="72"/>
      <c r="C861" s="48"/>
    </row>
    <row r="862" spans="2:3" ht="14" customHeight="1" x14ac:dyDescent="0.15">
      <c r="B862" s="72"/>
      <c r="C862" s="48"/>
    </row>
    <row r="863" spans="2:3" ht="14" customHeight="1" x14ac:dyDescent="0.15">
      <c r="B863" s="72"/>
      <c r="C863" s="48"/>
    </row>
    <row r="864" spans="2:3" ht="14" customHeight="1" x14ac:dyDescent="0.15">
      <c r="B864" s="72"/>
      <c r="C864" s="48"/>
    </row>
    <row r="865" spans="2:3" ht="14" customHeight="1" x14ac:dyDescent="0.15">
      <c r="B865" s="72"/>
      <c r="C865" s="48"/>
    </row>
    <row r="866" spans="2:3" ht="14" customHeight="1" x14ac:dyDescent="0.15">
      <c r="B866" s="72"/>
      <c r="C866" s="48"/>
    </row>
    <row r="867" spans="2:3" ht="14" customHeight="1" x14ac:dyDescent="0.15">
      <c r="B867" s="72"/>
      <c r="C867" s="48"/>
    </row>
    <row r="868" spans="2:3" ht="14" customHeight="1" x14ac:dyDescent="0.15">
      <c r="B868" s="72"/>
      <c r="C868" s="48"/>
    </row>
    <row r="869" spans="2:3" ht="14" customHeight="1" x14ac:dyDescent="0.15">
      <c r="B869" s="72"/>
      <c r="C869" s="48"/>
    </row>
    <row r="870" spans="2:3" ht="14" customHeight="1" x14ac:dyDescent="0.15">
      <c r="B870" s="72"/>
      <c r="C870" s="48"/>
    </row>
    <row r="871" spans="2:3" ht="14" customHeight="1" x14ac:dyDescent="0.15">
      <c r="B871" s="72"/>
      <c r="C871" s="48"/>
    </row>
    <row r="872" spans="2:3" ht="14" customHeight="1" x14ac:dyDescent="0.15">
      <c r="B872" s="72"/>
      <c r="C872" s="48"/>
    </row>
    <row r="873" spans="2:3" ht="14" customHeight="1" x14ac:dyDescent="0.15">
      <c r="B873" s="72"/>
      <c r="C873" s="48"/>
    </row>
    <row r="874" spans="2:3" ht="14" customHeight="1" x14ac:dyDescent="0.15">
      <c r="B874" s="72"/>
      <c r="C874" s="48"/>
    </row>
    <row r="875" spans="2:3" ht="14" customHeight="1" x14ac:dyDescent="0.15">
      <c r="B875" s="72"/>
      <c r="C875" s="48"/>
    </row>
    <row r="876" spans="2:3" ht="14" customHeight="1" x14ac:dyDescent="0.15">
      <c r="B876" s="72"/>
      <c r="C876" s="48"/>
    </row>
    <row r="877" spans="2:3" ht="14" customHeight="1" x14ac:dyDescent="0.15">
      <c r="B877" s="72"/>
      <c r="C877" s="48"/>
    </row>
    <row r="878" spans="2:3" ht="14" customHeight="1" x14ac:dyDescent="0.15">
      <c r="B878" s="72"/>
      <c r="C878" s="48"/>
    </row>
    <row r="879" spans="2:3" ht="14" customHeight="1" x14ac:dyDescent="0.15">
      <c r="B879" s="72"/>
      <c r="C879" s="48"/>
    </row>
    <row r="880" spans="2:3" ht="14" customHeight="1" x14ac:dyDescent="0.15">
      <c r="B880" s="72"/>
      <c r="C880" s="48"/>
    </row>
    <row r="881" spans="2:3" ht="14" customHeight="1" x14ac:dyDescent="0.15">
      <c r="B881" s="72"/>
      <c r="C881" s="48"/>
    </row>
    <row r="882" spans="2:3" ht="14" customHeight="1" x14ac:dyDescent="0.15">
      <c r="B882" s="72"/>
      <c r="C882" s="48"/>
    </row>
    <row r="883" spans="2:3" ht="14" customHeight="1" x14ac:dyDescent="0.15">
      <c r="B883" s="72"/>
      <c r="C883" s="48"/>
    </row>
    <row r="884" spans="2:3" ht="14" customHeight="1" x14ac:dyDescent="0.15">
      <c r="B884" s="72"/>
      <c r="C884" s="48"/>
    </row>
    <row r="885" spans="2:3" ht="14" customHeight="1" x14ac:dyDescent="0.15">
      <c r="B885" s="72"/>
      <c r="C885" s="48"/>
    </row>
    <row r="886" spans="2:3" ht="14" customHeight="1" x14ac:dyDescent="0.15">
      <c r="B886" s="72"/>
      <c r="C886" s="48"/>
    </row>
    <row r="887" spans="2:3" ht="14" customHeight="1" x14ac:dyDescent="0.15">
      <c r="B887" s="72"/>
      <c r="C887" s="48"/>
    </row>
    <row r="888" spans="2:3" ht="14" customHeight="1" x14ac:dyDescent="0.15">
      <c r="B888" s="72"/>
      <c r="C888" s="48"/>
    </row>
    <row r="889" spans="2:3" ht="14" customHeight="1" x14ac:dyDescent="0.15">
      <c r="B889" s="72"/>
      <c r="C889" s="48"/>
    </row>
    <row r="890" spans="2:3" ht="14" customHeight="1" x14ac:dyDescent="0.15">
      <c r="B890" s="72"/>
      <c r="C890" s="48"/>
    </row>
    <row r="891" spans="2:3" ht="14" customHeight="1" x14ac:dyDescent="0.15">
      <c r="B891" s="72"/>
      <c r="C891" s="48"/>
    </row>
    <row r="892" spans="2:3" ht="14" customHeight="1" x14ac:dyDescent="0.15">
      <c r="B892" s="72"/>
      <c r="C892" s="48"/>
    </row>
    <row r="893" spans="2:3" ht="14" customHeight="1" x14ac:dyDescent="0.15">
      <c r="B893" s="72"/>
      <c r="C893" s="48"/>
    </row>
    <row r="894" spans="2:3" ht="14" customHeight="1" x14ac:dyDescent="0.15">
      <c r="B894" s="72"/>
      <c r="C894" s="48"/>
    </row>
    <row r="895" spans="2:3" ht="14" customHeight="1" x14ac:dyDescent="0.15">
      <c r="B895" s="72"/>
      <c r="C895" s="48"/>
    </row>
    <row r="896" spans="2:3" ht="14" customHeight="1" x14ac:dyDescent="0.15">
      <c r="B896" s="72"/>
      <c r="C896" s="48"/>
    </row>
    <row r="897" spans="2:3" ht="14" customHeight="1" x14ac:dyDescent="0.15">
      <c r="B897" s="72"/>
      <c r="C897" s="48"/>
    </row>
    <row r="898" spans="2:3" ht="14" customHeight="1" x14ac:dyDescent="0.15">
      <c r="B898" s="72"/>
      <c r="C898" s="48"/>
    </row>
    <row r="899" spans="2:3" ht="14" customHeight="1" x14ac:dyDescent="0.15">
      <c r="B899" s="72"/>
      <c r="C899" s="48"/>
    </row>
    <row r="900" spans="2:3" ht="14" customHeight="1" x14ac:dyDescent="0.15">
      <c r="B900" s="72"/>
      <c r="C900" s="48"/>
    </row>
    <row r="901" spans="2:3" ht="14" customHeight="1" x14ac:dyDescent="0.15">
      <c r="B901" s="72"/>
      <c r="C901" s="48"/>
    </row>
    <row r="902" spans="2:3" ht="14" customHeight="1" x14ac:dyDescent="0.15">
      <c r="B902" s="72"/>
      <c r="C902" s="48"/>
    </row>
    <row r="903" spans="2:3" ht="14" customHeight="1" x14ac:dyDescent="0.15">
      <c r="B903" s="72"/>
      <c r="C903" s="48"/>
    </row>
    <row r="904" spans="2:3" ht="14" customHeight="1" x14ac:dyDescent="0.15">
      <c r="B904" s="72"/>
      <c r="C904" s="48"/>
    </row>
    <row r="905" spans="2:3" ht="14" customHeight="1" x14ac:dyDescent="0.15">
      <c r="B905" s="72"/>
      <c r="C905" s="48"/>
    </row>
    <row r="906" spans="2:3" ht="14" customHeight="1" x14ac:dyDescent="0.15">
      <c r="B906" s="72"/>
      <c r="C906" s="48"/>
    </row>
    <row r="907" spans="2:3" ht="14" customHeight="1" x14ac:dyDescent="0.15">
      <c r="B907" s="72"/>
      <c r="C907" s="48"/>
    </row>
    <row r="908" spans="2:3" ht="14" customHeight="1" x14ac:dyDescent="0.15">
      <c r="B908" s="72"/>
      <c r="C908" s="48"/>
    </row>
    <row r="909" spans="2:3" ht="14" customHeight="1" x14ac:dyDescent="0.15">
      <c r="B909" s="72"/>
      <c r="C909" s="48"/>
    </row>
    <row r="910" spans="2:3" ht="14" customHeight="1" x14ac:dyDescent="0.15">
      <c r="B910" s="72"/>
      <c r="C910" s="48"/>
    </row>
    <row r="911" spans="2:3" ht="14" customHeight="1" x14ac:dyDescent="0.15">
      <c r="B911" s="72"/>
      <c r="C911" s="48"/>
    </row>
    <row r="912" spans="2:3" ht="14" customHeight="1" x14ac:dyDescent="0.15">
      <c r="B912" s="72"/>
      <c r="C912" s="48"/>
    </row>
    <row r="913" spans="2:3" ht="14" customHeight="1" x14ac:dyDescent="0.15">
      <c r="B913" s="72"/>
      <c r="C913" s="48"/>
    </row>
    <row r="914" spans="2:3" ht="14" customHeight="1" x14ac:dyDescent="0.15">
      <c r="B914" s="72"/>
      <c r="C914" s="48"/>
    </row>
    <row r="915" spans="2:3" ht="14" customHeight="1" x14ac:dyDescent="0.15">
      <c r="B915" s="72"/>
      <c r="C915" s="48"/>
    </row>
    <row r="916" spans="2:3" ht="14" customHeight="1" x14ac:dyDescent="0.15">
      <c r="B916" s="72"/>
      <c r="C916" s="48"/>
    </row>
    <row r="917" spans="2:3" ht="14" customHeight="1" x14ac:dyDescent="0.15">
      <c r="B917" s="72"/>
      <c r="C917" s="48"/>
    </row>
    <row r="918" spans="2:3" ht="14" customHeight="1" x14ac:dyDescent="0.15">
      <c r="B918" s="72"/>
      <c r="C918" s="48"/>
    </row>
    <row r="919" spans="2:3" ht="14" customHeight="1" x14ac:dyDescent="0.15">
      <c r="B919" s="72"/>
      <c r="C919" s="48"/>
    </row>
    <row r="920" spans="2:3" ht="14" customHeight="1" x14ac:dyDescent="0.15">
      <c r="B920" s="72"/>
      <c r="C920" s="48"/>
    </row>
    <row r="921" spans="2:3" ht="14" customHeight="1" x14ac:dyDescent="0.15">
      <c r="B921" s="72"/>
      <c r="C921" s="48"/>
    </row>
    <row r="922" spans="2:3" ht="14" customHeight="1" x14ac:dyDescent="0.15">
      <c r="B922" s="72"/>
      <c r="C922" s="48"/>
    </row>
    <row r="923" spans="2:3" ht="14" customHeight="1" x14ac:dyDescent="0.15">
      <c r="B923" s="72"/>
      <c r="C923" s="48"/>
    </row>
    <row r="924" spans="2:3" ht="14" customHeight="1" x14ac:dyDescent="0.15">
      <c r="B924" s="72"/>
      <c r="C924" s="48"/>
    </row>
    <row r="925" spans="2:3" ht="14" customHeight="1" x14ac:dyDescent="0.15">
      <c r="B925" s="72"/>
      <c r="C925" s="48"/>
    </row>
    <row r="926" spans="2:3" ht="14" customHeight="1" x14ac:dyDescent="0.15">
      <c r="B926" s="72"/>
      <c r="C926" s="48"/>
    </row>
    <row r="927" spans="2:3" ht="14" customHeight="1" x14ac:dyDescent="0.15">
      <c r="B927" s="72"/>
      <c r="C927" s="48"/>
    </row>
    <row r="928" spans="2:3" ht="14" customHeight="1" x14ac:dyDescent="0.15">
      <c r="B928" s="72"/>
      <c r="C928" s="48"/>
    </row>
    <row r="929" spans="2:3" ht="14" customHeight="1" x14ac:dyDescent="0.15">
      <c r="B929" s="72"/>
      <c r="C929" s="48"/>
    </row>
    <row r="930" spans="2:3" ht="14" customHeight="1" x14ac:dyDescent="0.15">
      <c r="B930" s="72"/>
      <c r="C930" s="48"/>
    </row>
    <row r="931" spans="2:3" ht="14" customHeight="1" x14ac:dyDescent="0.15">
      <c r="B931" s="72"/>
      <c r="C931" s="48"/>
    </row>
    <row r="932" spans="2:3" ht="14" customHeight="1" x14ac:dyDescent="0.15">
      <c r="B932" s="72"/>
      <c r="C932" s="48"/>
    </row>
    <row r="933" spans="2:3" ht="14" customHeight="1" x14ac:dyDescent="0.15">
      <c r="B933" s="72"/>
      <c r="C933" s="48"/>
    </row>
    <row r="934" spans="2:3" ht="14" customHeight="1" x14ac:dyDescent="0.15">
      <c r="B934" s="72"/>
      <c r="C934" s="48"/>
    </row>
    <row r="935" spans="2:3" ht="14" customHeight="1" x14ac:dyDescent="0.15">
      <c r="B935" s="72"/>
      <c r="C935" s="48"/>
    </row>
    <row r="936" spans="2:3" ht="14" customHeight="1" x14ac:dyDescent="0.15">
      <c r="B936" s="72"/>
      <c r="C936" s="48"/>
    </row>
    <row r="937" spans="2:3" ht="14" customHeight="1" x14ac:dyDescent="0.15">
      <c r="B937" s="72"/>
      <c r="C937" s="48"/>
    </row>
    <row r="938" spans="2:3" ht="14" customHeight="1" x14ac:dyDescent="0.15">
      <c r="B938" s="72"/>
      <c r="C938" s="48"/>
    </row>
    <row r="939" spans="2:3" ht="14" customHeight="1" x14ac:dyDescent="0.15">
      <c r="B939" s="72"/>
      <c r="C939" s="48"/>
    </row>
    <row r="940" spans="2:3" ht="14" customHeight="1" x14ac:dyDescent="0.15">
      <c r="B940" s="72"/>
      <c r="C940" s="48"/>
    </row>
    <row r="941" spans="2:3" ht="14" customHeight="1" x14ac:dyDescent="0.15">
      <c r="B941" s="72"/>
      <c r="C941" s="48"/>
    </row>
    <row r="942" spans="2:3" ht="14" customHeight="1" x14ac:dyDescent="0.15">
      <c r="B942" s="72"/>
      <c r="C942" s="48"/>
    </row>
    <row r="943" spans="2:3" ht="14" customHeight="1" x14ac:dyDescent="0.15">
      <c r="B943" s="72"/>
      <c r="C943" s="48"/>
    </row>
    <row r="944" spans="2:3" ht="14" customHeight="1" x14ac:dyDescent="0.15">
      <c r="B944" s="72"/>
      <c r="C944" s="48"/>
    </row>
    <row r="945" spans="2:3" ht="14" customHeight="1" x14ac:dyDescent="0.15">
      <c r="B945" s="72"/>
      <c r="C945" s="48"/>
    </row>
    <row r="946" spans="2:3" ht="14" customHeight="1" x14ac:dyDescent="0.15">
      <c r="B946" s="72"/>
      <c r="C946" s="48"/>
    </row>
    <row r="947" spans="2:3" ht="14" customHeight="1" x14ac:dyDescent="0.15">
      <c r="B947" s="72"/>
      <c r="C947" s="48"/>
    </row>
    <row r="948" spans="2:3" ht="14" customHeight="1" x14ac:dyDescent="0.15">
      <c r="B948" s="72"/>
      <c r="C948" s="48"/>
    </row>
    <row r="949" spans="2:3" ht="14" customHeight="1" x14ac:dyDescent="0.15">
      <c r="B949" s="72"/>
      <c r="C949" s="48"/>
    </row>
    <row r="950" spans="2:3" ht="14" customHeight="1" x14ac:dyDescent="0.15">
      <c r="B950" s="72"/>
      <c r="C950" s="48"/>
    </row>
    <row r="951" spans="2:3" ht="14" customHeight="1" x14ac:dyDescent="0.15">
      <c r="B951" s="72"/>
      <c r="C951" s="48"/>
    </row>
    <row r="952" spans="2:3" ht="14" customHeight="1" x14ac:dyDescent="0.15">
      <c r="B952" s="72"/>
      <c r="C952" s="48"/>
    </row>
    <row r="953" spans="2:3" ht="14" customHeight="1" x14ac:dyDescent="0.15">
      <c r="B953" s="72"/>
      <c r="C953" s="48"/>
    </row>
    <row r="954" spans="2:3" ht="14" customHeight="1" x14ac:dyDescent="0.15">
      <c r="B954" s="72"/>
      <c r="C954" s="48"/>
    </row>
    <row r="955" spans="2:3" ht="14" customHeight="1" x14ac:dyDescent="0.15">
      <c r="B955" s="72"/>
      <c r="C955" s="48"/>
    </row>
    <row r="956" spans="2:3" ht="14" customHeight="1" x14ac:dyDescent="0.15">
      <c r="B956" s="72"/>
      <c r="C956" s="48"/>
    </row>
    <row r="957" spans="2:3" ht="14" customHeight="1" x14ac:dyDescent="0.15">
      <c r="B957" s="72"/>
      <c r="C957" s="48"/>
    </row>
    <row r="958" spans="2:3" ht="14" customHeight="1" x14ac:dyDescent="0.15">
      <c r="B958" s="72"/>
      <c r="C958" s="48"/>
    </row>
    <row r="959" spans="2:3" ht="14" customHeight="1" x14ac:dyDescent="0.15">
      <c r="B959" s="72"/>
      <c r="C959" s="48"/>
    </row>
    <row r="960" spans="2:3" ht="14" customHeight="1" x14ac:dyDescent="0.15">
      <c r="B960" s="72"/>
      <c r="C960" s="48"/>
    </row>
    <row r="961" spans="2:3" ht="14" customHeight="1" x14ac:dyDescent="0.15">
      <c r="B961" s="72"/>
      <c r="C961" s="48"/>
    </row>
    <row r="962" spans="2:3" ht="14" customHeight="1" x14ac:dyDescent="0.15">
      <c r="B962" s="72"/>
      <c r="C962" s="48"/>
    </row>
    <row r="963" spans="2:3" ht="14" customHeight="1" x14ac:dyDescent="0.15">
      <c r="B963" s="72"/>
      <c r="C963" s="48"/>
    </row>
    <row r="964" spans="2:3" ht="14" customHeight="1" x14ac:dyDescent="0.15">
      <c r="B964" s="72"/>
      <c r="C964" s="48"/>
    </row>
    <row r="965" spans="2:3" ht="14" customHeight="1" x14ac:dyDescent="0.15">
      <c r="B965" s="72"/>
      <c r="C965" s="48"/>
    </row>
    <row r="966" spans="2:3" ht="14" customHeight="1" x14ac:dyDescent="0.15">
      <c r="B966" s="72"/>
      <c r="C966" s="48"/>
    </row>
    <row r="967" spans="2:3" ht="14" customHeight="1" x14ac:dyDescent="0.15">
      <c r="B967" s="72"/>
      <c r="C967" s="48"/>
    </row>
    <row r="968" spans="2:3" ht="14" customHeight="1" x14ac:dyDescent="0.15">
      <c r="B968" s="72"/>
      <c r="C968" s="48"/>
    </row>
    <row r="969" spans="2:3" ht="14" customHeight="1" x14ac:dyDescent="0.15">
      <c r="B969" s="72"/>
      <c r="C969" s="48"/>
    </row>
    <row r="970" spans="2:3" ht="14" customHeight="1" x14ac:dyDescent="0.15">
      <c r="B970" s="72"/>
      <c r="C970" s="48"/>
    </row>
    <row r="971" spans="2:3" ht="14" customHeight="1" x14ac:dyDescent="0.15">
      <c r="B971" s="72"/>
      <c r="C971" s="48"/>
    </row>
    <row r="972" spans="2:3" ht="14" customHeight="1" x14ac:dyDescent="0.15">
      <c r="B972" s="72"/>
      <c r="C972" s="48"/>
    </row>
    <row r="973" spans="2:3" ht="14" customHeight="1" x14ac:dyDescent="0.15">
      <c r="B973" s="72"/>
      <c r="C973" s="48"/>
    </row>
    <row r="974" spans="2:3" ht="14" customHeight="1" x14ac:dyDescent="0.15">
      <c r="B974" s="72"/>
      <c r="C974" s="48"/>
    </row>
    <row r="975" spans="2:3" ht="14" customHeight="1" x14ac:dyDescent="0.15">
      <c r="B975" s="72"/>
      <c r="C975" s="48"/>
    </row>
    <row r="976" spans="2:3" ht="14" customHeight="1" x14ac:dyDescent="0.15">
      <c r="B976" s="72"/>
      <c r="C976" s="48"/>
    </row>
    <row r="977" spans="2:3" ht="14" customHeight="1" x14ac:dyDescent="0.15">
      <c r="B977" s="72"/>
      <c r="C977" s="48"/>
    </row>
    <row r="978" spans="2:3" ht="14" customHeight="1" x14ac:dyDescent="0.15">
      <c r="B978" s="72"/>
      <c r="C978" s="48"/>
    </row>
    <row r="979" spans="2:3" ht="14" customHeight="1" x14ac:dyDescent="0.15">
      <c r="B979" s="72"/>
      <c r="C979" s="48"/>
    </row>
    <row r="980" spans="2:3" ht="14" customHeight="1" x14ac:dyDescent="0.15">
      <c r="B980" s="72"/>
      <c r="C980" s="48"/>
    </row>
    <row r="981" spans="2:3" ht="14" customHeight="1" x14ac:dyDescent="0.15">
      <c r="B981" s="72"/>
      <c r="C981" s="48"/>
    </row>
    <row r="982" spans="2:3" ht="14" customHeight="1" x14ac:dyDescent="0.15">
      <c r="B982" s="72"/>
      <c r="C982" s="48"/>
    </row>
    <row r="983" spans="2:3" ht="14" customHeight="1" x14ac:dyDescent="0.15">
      <c r="B983" s="72"/>
      <c r="C983" s="48"/>
    </row>
    <row r="984" spans="2:3" ht="14" customHeight="1" x14ac:dyDescent="0.15">
      <c r="B984" s="72"/>
      <c r="C984" s="48"/>
    </row>
    <row r="985" spans="2:3" ht="14" customHeight="1" x14ac:dyDescent="0.15">
      <c r="B985" s="72"/>
      <c r="C985" s="48"/>
    </row>
    <row r="986" spans="2:3" ht="14" customHeight="1" x14ac:dyDescent="0.15">
      <c r="B986" s="72"/>
      <c r="C986" s="48"/>
    </row>
    <row r="987" spans="2:3" ht="14" customHeight="1" x14ac:dyDescent="0.15">
      <c r="B987" s="72"/>
      <c r="C987" s="48"/>
    </row>
    <row r="988" spans="2:3" ht="14" customHeight="1" x14ac:dyDescent="0.15">
      <c r="B988" s="72"/>
      <c r="C988" s="48"/>
    </row>
    <row r="989" spans="2:3" ht="14" customHeight="1" x14ac:dyDescent="0.15">
      <c r="B989" s="72"/>
      <c r="C989" s="48"/>
    </row>
    <row r="990" spans="2:3" ht="14" customHeight="1" x14ac:dyDescent="0.15">
      <c r="B990" s="72"/>
      <c r="C990" s="48"/>
    </row>
    <row r="991" spans="2:3" ht="14" customHeight="1" x14ac:dyDescent="0.15">
      <c r="B991" s="72"/>
      <c r="C991" s="48"/>
    </row>
    <row r="992" spans="2:3" ht="14" customHeight="1" x14ac:dyDescent="0.15">
      <c r="B992" s="72"/>
      <c r="C992" s="48"/>
    </row>
    <row r="993" spans="2:3" ht="14" customHeight="1" x14ac:dyDescent="0.15">
      <c r="B993" s="72"/>
      <c r="C993" s="48"/>
    </row>
    <row r="994" spans="2:3" ht="14" customHeight="1" x14ac:dyDescent="0.15">
      <c r="B994" s="72"/>
      <c r="C994" s="48"/>
    </row>
    <row r="995" spans="2:3" ht="14" customHeight="1" x14ac:dyDescent="0.15">
      <c r="B995" s="72"/>
      <c r="C995" s="48"/>
    </row>
    <row r="996" spans="2:3" ht="14" customHeight="1" x14ac:dyDescent="0.15">
      <c r="B996" s="72"/>
      <c r="C996" s="48"/>
    </row>
    <row r="997" spans="2:3" ht="14" customHeight="1" x14ac:dyDescent="0.15">
      <c r="B997" s="72"/>
      <c r="C997" s="48"/>
    </row>
    <row r="998" spans="2:3" ht="14" customHeight="1" x14ac:dyDescent="0.15">
      <c r="B998" s="72"/>
      <c r="C998" s="48"/>
    </row>
    <row r="999" spans="2:3" ht="14" customHeight="1" x14ac:dyDescent="0.15">
      <c r="B999" s="72"/>
      <c r="C999" s="48"/>
    </row>
    <row r="1000" spans="2:3" ht="14" customHeight="1" x14ac:dyDescent="0.15">
      <c r="B1000" s="72"/>
      <c r="C1000" s="48"/>
    </row>
    <row r="1001" spans="2:3" ht="14" customHeight="1" x14ac:dyDescent="0.15">
      <c r="B1001" s="72"/>
      <c r="C1001" s="48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topLeftCell="I1" workbookViewId="0">
      <pane ySplit="1" topLeftCell="A2" activePane="bottomLeft" state="frozen"/>
      <selection pane="bottomLeft" activeCell="M7" sqref="M7"/>
    </sheetView>
  </sheetViews>
  <sheetFormatPr baseColWidth="10" defaultColWidth="14.5" defaultRowHeight="15" customHeight="1" x14ac:dyDescent="0.15"/>
  <cols>
    <col min="1" max="1" width="6.5" style="1" customWidth="1"/>
    <col min="2" max="2" width="12" style="1" customWidth="1"/>
    <col min="3" max="3" width="2.5" style="1" customWidth="1"/>
    <col min="4" max="4" width="7.5" style="1" bestFit="1" customWidth="1"/>
    <col min="5" max="9" width="3.5" style="1" customWidth="1"/>
    <col min="10" max="10" width="4.5" style="1" customWidth="1"/>
    <col min="11" max="12" width="18.83203125" style="1" customWidth="1"/>
    <col min="13" max="14" width="14.1640625" style="1" customWidth="1"/>
    <col min="15" max="15" width="14" style="1" customWidth="1"/>
    <col min="16" max="20" width="28" style="1" hidden="1" customWidth="1"/>
    <col min="21" max="21" width="11" style="1" customWidth="1"/>
    <col min="22" max="22" width="29.33203125" style="1" customWidth="1"/>
    <col min="23" max="34" width="14.5" style="1" customWidth="1"/>
    <col min="35" max="16384" width="14.5" style="1"/>
  </cols>
  <sheetData>
    <row r="1" spans="1:23" x14ac:dyDescent="0.15">
      <c r="A1" s="17" t="s">
        <v>13</v>
      </c>
      <c r="B1" s="45" t="s">
        <v>0</v>
      </c>
      <c r="C1" s="17"/>
      <c r="D1" s="17" t="s">
        <v>14</v>
      </c>
      <c r="E1" s="17" t="s">
        <v>15</v>
      </c>
      <c r="F1" s="17" t="s">
        <v>16</v>
      </c>
      <c r="G1" s="17" t="s">
        <v>17</v>
      </c>
      <c r="H1" s="17" t="s">
        <v>16</v>
      </c>
      <c r="I1" s="17" t="s">
        <v>18</v>
      </c>
      <c r="J1" s="17"/>
      <c r="K1" s="17" t="s">
        <v>8</v>
      </c>
      <c r="L1" s="46" t="s">
        <v>8</v>
      </c>
      <c r="M1" s="46" t="s">
        <v>3</v>
      </c>
      <c r="N1" s="46" t="s">
        <v>3</v>
      </c>
      <c r="O1" s="17" t="s">
        <v>10</v>
      </c>
      <c r="P1" s="17" t="s">
        <v>8</v>
      </c>
      <c r="Q1" s="46" t="s">
        <v>8</v>
      </c>
      <c r="R1" s="46" t="s">
        <v>2</v>
      </c>
      <c r="S1" s="17" t="s">
        <v>10</v>
      </c>
      <c r="T1" s="17" t="s">
        <v>10</v>
      </c>
      <c r="U1" s="17"/>
      <c r="V1" s="36"/>
      <c r="W1" s="36"/>
    </row>
    <row r="2" spans="1:23" ht="14" customHeight="1" x14ac:dyDescent="0.15">
      <c r="A2" s="2">
        <v>44927</v>
      </c>
      <c r="B2" s="3">
        <v>46055</v>
      </c>
      <c r="C2" s="48" t="s">
        <v>19</v>
      </c>
      <c r="D2" s="49">
        <f t="shared" ref="D2:D21" si="0">SUM(E2:I2)</f>
        <v>3</v>
      </c>
      <c r="E2" s="22" t="s">
        <v>20</v>
      </c>
      <c r="F2" s="20" t="s">
        <v>21</v>
      </c>
      <c r="G2" s="21">
        <v>2</v>
      </c>
      <c r="H2" s="21"/>
      <c r="I2" s="21">
        <v>1</v>
      </c>
      <c r="J2" s="36"/>
      <c r="K2" s="22" t="s">
        <v>20</v>
      </c>
      <c r="L2" s="22" t="s">
        <v>20</v>
      </c>
      <c r="M2" s="66" t="s">
        <v>398</v>
      </c>
      <c r="N2" s="66" t="s">
        <v>399</v>
      </c>
      <c r="O2" s="66" t="s">
        <v>400</v>
      </c>
      <c r="P2" s="36"/>
      <c r="Q2" s="50"/>
      <c r="R2" s="50"/>
      <c r="S2" s="51" t="s">
        <v>401</v>
      </c>
      <c r="T2" s="51" t="s">
        <v>402</v>
      </c>
      <c r="U2" s="36">
        <v>1</v>
      </c>
      <c r="V2" s="66" t="s">
        <v>403</v>
      </c>
      <c r="W2" s="66" t="s">
        <v>404</v>
      </c>
    </row>
    <row r="3" spans="1:23" ht="14" customHeight="1" x14ac:dyDescent="0.15">
      <c r="A3" s="2">
        <v>44928</v>
      </c>
      <c r="B3" s="3">
        <f t="shared" ref="B3:B10" si="1">B2+7</f>
        <v>46062</v>
      </c>
      <c r="C3" s="48" t="s">
        <v>29</v>
      </c>
      <c r="D3" s="49">
        <f t="shared" si="0"/>
        <v>4</v>
      </c>
      <c r="E3" s="21">
        <v>2</v>
      </c>
      <c r="F3" s="36"/>
      <c r="G3" s="26">
        <v>1</v>
      </c>
      <c r="H3" s="26"/>
      <c r="I3" s="26">
        <v>1</v>
      </c>
      <c r="J3" s="36"/>
      <c r="K3" s="97" t="s">
        <v>405</v>
      </c>
      <c r="L3" s="97" t="s">
        <v>406</v>
      </c>
      <c r="M3" s="66" t="s">
        <v>407</v>
      </c>
      <c r="N3" s="22" t="s">
        <v>26</v>
      </c>
      <c r="O3" s="66" t="s">
        <v>408</v>
      </c>
      <c r="P3" s="51" t="s">
        <v>409</v>
      </c>
      <c r="Q3" s="51" t="s">
        <v>410</v>
      </c>
      <c r="R3" s="51" t="s">
        <v>411</v>
      </c>
      <c r="S3" s="51" t="s">
        <v>411</v>
      </c>
      <c r="T3" s="51" t="s">
        <v>412</v>
      </c>
      <c r="U3" s="36">
        <v>2</v>
      </c>
      <c r="V3" s="66" t="s">
        <v>413</v>
      </c>
      <c r="W3" s="66" t="s">
        <v>414</v>
      </c>
    </row>
    <row r="4" spans="1:23" ht="16.5" customHeight="1" x14ac:dyDescent="0.15">
      <c r="A4" s="2">
        <v>44929</v>
      </c>
      <c r="B4" s="3">
        <f t="shared" si="1"/>
        <v>46069</v>
      </c>
      <c r="C4" s="48" t="s">
        <v>19</v>
      </c>
      <c r="D4" s="49">
        <f t="shared" si="0"/>
        <v>5</v>
      </c>
      <c r="E4" s="21">
        <v>2</v>
      </c>
      <c r="F4" s="21"/>
      <c r="G4" s="21">
        <v>2</v>
      </c>
      <c r="H4" s="21"/>
      <c r="I4" s="21">
        <v>1</v>
      </c>
      <c r="J4" s="36"/>
      <c r="K4" s="66" t="s">
        <v>415</v>
      </c>
      <c r="L4" s="66" t="s">
        <v>416</v>
      </c>
      <c r="M4" s="66" t="s">
        <v>417</v>
      </c>
      <c r="N4" s="66" t="s">
        <v>418</v>
      </c>
      <c r="O4" s="66" t="s">
        <v>419</v>
      </c>
      <c r="P4" s="51" t="s">
        <v>412</v>
      </c>
      <c r="Q4" s="51" t="s">
        <v>420</v>
      </c>
      <c r="R4" s="53"/>
      <c r="S4" s="51" t="s">
        <v>420</v>
      </c>
      <c r="T4" s="51" t="s">
        <v>421</v>
      </c>
      <c r="U4" s="36">
        <v>3</v>
      </c>
      <c r="V4" s="66" t="s">
        <v>399</v>
      </c>
      <c r="W4" s="66" t="s">
        <v>422</v>
      </c>
    </row>
    <row r="5" spans="1:23" ht="14" customHeight="1" x14ac:dyDescent="0.15">
      <c r="A5" s="2">
        <v>44930</v>
      </c>
      <c r="B5" s="3">
        <f t="shared" si="1"/>
        <v>46076</v>
      </c>
      <c r="C5" s="48" t="s">
        <v>29</v>
      </c>
      <c r="D5" s="49">
        <f t="shared" si="0"/>
        <v>4</v>
      </c>
      <c r="E5" s="26">
        <v>2</v>
      </c>
      <c r="F5" s="22" t="s">
        <v>30</v>
      </c>
      <c r="G5" s="26">
        <v>1</v>
      </c>
      <c r="H5" s="26"/>
      <c r="I5" s="26">
        <v>1</v>
      </c>
      <c r="J5" s="54"/>
      <c r="K5" s="66" t="s">
        <v>423</v>
      </c>
      <c r="L5" s="66" t="s">
        <v>424</v>
      </c>
      <c r="M5" s="102" t="s">
        <v>425</v>
      </c>
      <c r="N5" s="22" t="s">
        <v>26</v>
      </c>
      <c r="O5" s="102" t="s">
        <v>426</v>
      </c>
      <c r="P5" s="51" t="s">
        <v>421</v>
      </c>
      <c r="Q5" s="51" t="s">
        <v>427</v>
      </c>
      <c r="R5" s="51" t="s">
        <v>428</v>
      </c>
      <c r="S5" s="51" t="s">
        <v>429</v>
      </c>
      <c r="T5" s="51" t="s">
        <v>430</v>
      </c>
      <c r="U5" s="36">
        <v>4</v>
      </c>
      <c r="V5" s="66" t="s">
        <v>431</v>
      </c>
      <c r="W5" s="66" t="s">
        <v>432</v>
      </c>
    </row>
    <row r="6" spans="1:23" ht="14" customHeight="1" x14ac:dyDescent="0.15">
      <c r="A6" s="2">
        <v>44931</v>
      </c>
      <c r="B6" s="3">
        <f t="shared" si="1"/>
        <v>46083</v>
      </c>
      <c r="C6" s="48" t="s">
        <v>19</v>
      </c>
      <c r="D6" s="49">
        <f t="shared" si="0"/>
        <v>5</v>
      </c>
      <c r="E6" s="21">
        <v>2</v>
      </c>
      <c r="F6" s="21"/>
      <c r="G6" s="21">
        <v>2</v>
      </c>
      <c r="H6" s="21"/>
      <c r="I6" s="21">
        <v>1</v>
      </c>
      <c r="J6" s="36"/>
      <c r="K6" s="66" t="s">
        <v>433</v>
      </c>
      <c r="L6" s="66" t="s">
        <v>434</v>
      </c>
      <c r="M6" s="66" t="s">
        <v>435</v>
      </c>
      <c r="N6" s="66" t="s">
        <v>436</v>
      </c>
      <c r="O6" s="66" t="s">
        <v>437</v>
      </c>
      <c r="P6" s="51" t="s">
        <v>438</v>
      </c>
      <c r="Q6" s="51" t="s">
        <v>438</v>
      </c>
      <c r="R6" s="53"/>
      <c r="S6" s="55" t="s">
        <v>439</v>
      </c>
      <c r="T6" s="55"/>
      <c r="U6" s="36">
        <v>5</v>
      </c>
      <c r="V6" s="66" t="s">
        <v>440</v>
      </c>
      <c r="W6" s="66" t="s">
        <v>441</v>
      </c>
    </row>
    <row r="7" spans="1:23" ht="14" customHeight="1" x14ac:dyDescent="0.15">
      <c r="A7" s="2">
        <v>44932</v>
      </c>
      <c r="B7" s="3">
        <f t="shared" si="1"/>
        <v>46090</v>
      </c>
      <c r="C7" s="48" t="s">
        <v>29</v>
      </c>
      <c r="D7" s="49">
        <f t="shared" si="0"/>
        <v>2</v>
      </c>
      <c r="E7" s="22" t="s">
        <v>55</v>
      </c>
      <c r="F7" s="21"/>
      <c r="G7" s="26">
        <v>1</v>
      </c>
      <c r="H7" s="26"/>
      <c r="I7" s="26">
        <v>1</v>
      </c>
      <c r="J7" s="36"/>
      <c r="K7" s="22" t="s">
        <v>55</v>
      </c>
      <c r="L7" s="22" t="s">
        <v>55</v>
      </c>
      <c r="M7" s="66" t="s">
        <v>442</v>
      </c>
      <c r="N7" s="22" t="s">
        <v>26</v>
      </c>
      <c r="O7" s="66" t="s">
        <v>443</v>
      </c>
      <c r="P7" s="51" t="s">
        <v>430</v>
      </c>
      <c r="Q7" s="51" t="s">
        <v>444</v>
      </c>
      <c r="R7" s="51" t="s">
        <v>444</v>
      </c>
      <c r="S7" s="51" t="s">
        <v>445</v>
      </c>
      <c r="T7" s="51" t="s">
        <v>445</v>
      </c>
      <c r="U7" s="36">
        <v>6</v>
      </c>
      <c r="V7" s="66" t="s">
        <v>405</v>
      </c>
      <c r="W7" s="66" t="s">
        <v>446</v>
      </c>
    </row>
    <row r="8" spans="1:23" ht="14" customHeight="1" x14ac:dyDescent="0.15">
      <c r="A8" s="2">
        <v>44933</v>
      </c>
      <c r="B8" s="3">
        <f t="shared" si="1"/>
        <v>46097</v>
      </c>
      <c r="C8" s="48" t="s">
        <v>19</v>
      </c>
      <c r="D8" s="49">
        <f t="shared" si="0"/>
        <v>5</v>
      </c>
      <c r="E8" s="21">
        <v>2</v>
      </c>
      <c r="F8" s="21"/>
      <c r="G8" s="21">
        <v>2</v>
      </c>
      <c r="H8" s="21"/>
      <c r="I8" s="21">
        <v>1</v>
      </c>
      <c r="J8" s="36"/>
      <c r="K8" s="52" t="s">
        <v>447</v>
      </c>
      <c r="L8" s="52" t="s">
        <v>448</v>
      </c>
      <c r="M8" s="52" t="s">
        <v>449</v>
      </c>
      <c r="N8" s="52" t="s">
        <v>450</v>
      </c>
      <c r="O8" s="80" t="s">
        <v>451</v>
      </c>
      <c r="P8" s="51" t="s">
        <v>452</v>
      </c>
      <c r="Q8" s="51" t="s">
        <v>453</v>
      </c>
      <c r="R8" s="53"/>
      <c r="S8" s="56" t="s">
        <v>454</v>
      </c>
      <c r="T8" s="56" t="s">
        <v>454</v>
      </c>
      <c r="U8" s="36">
        <v>7</v>
      </c>
      <c r="V8" s="66" t="s">
        <v>455</v>
      </c>
      <c r="W8" s="66" t="s">
        <v>456</v>
      </c>
    </row>
    <row r="9" spans="1:23" ht="14" customHeight="1" x14ac:dyDescent="0.15">
      <c r="A9" s="2">
        <v>44934</v>
      </c>
      <c r="B9" s="3">
        <f t="shared" si="1"/>
        <v>46104</v>
      </c>
      <c r="C9" s="48" t="s">
        <v>29</v>
      </c>
      <c r="D9" s="49">
        <f t="shared" si="0"/>
        <v>3</v>
      </c>
      <c r="E9" s="21">
        <v>2</v>
      </c>
      <c r="F9" s="21"/>
      <c r="G9" s="26">
        <v>1</v>
      </c>
      <c r="H9" s="21"/>
      <c r="I9" s="22" t="s">
        <v>69</v>
      </c>
      <c r="J9" s="36"/>
      <c r="K9" s="52" t="s">
        <v>457</v>
      </c>
      <c r="L9" s="52" t="s">
        <v>458</v>
      </c>
      <c r="M9" s="52" t="s">
        <v>459</v>
      </c>
      <c r="N9" s="22" t="s">
        <v>26</v>
      </c>
      <c r="O9" s="22" t="s">
        <v>69</v>
      </c>
      <c r="P9" s="56" t="s">
        <v>460</v>
      </c>
      <c r="Q9" s="56" t="s">
        <v>460</v>
      </c>
      <c r="R9" s="56" t="s">
        <v>461</v>
      </c>
      <c r="S9" s="56" t="s">
        <v>461</v>
      </c>
      <c r="T9" s="51" t="s">
        <v>462</v>
      </c>
      <c r="U9" s="36">
        <v>8</v>
      </c>
      <c r="V9" s="66" t="s">
        <v>463</v>
      </c>
      <c r="W9" s="66" t="s">
        <v>464</v>
      </c>
    </row>
    <row r="10" spans="1:23" ht="14" customHeight="1" x14ac:dyDescent="0.15">
      <c r="A10" s="2">
        <v>44935</v>
      </c>
      <c r="B10" s="3">
        <f t="shared" si="1"/>
        <v>46111</v>
      </c>
      <c r="C10" s="48" t="s">
        <v>19</v>
      </c>
      <c r="D10" s="49">
        <f t="shared" si="0"/>
        <v>4</v>
      </c>
      <c r="E10" s="21">
        <v>2</v>
      </c>
      <c r="F10" s="22" t="s">
        <v>75</v>
      </c>
      <c r="G10" s="21">
        <v>2</v>
      </c>
      <c r="H10" s="21"/>
      <c r="I10" s="22" t="s">
        <v>76</v>
      </c>
      <c r="J10" s="36"/>
      <c r="K10" s="52" t="s">
        <v>465</v>
      </c>
      <c r="L10" s="52" t="s">
        <v>466</v>
      </c>
      <c r="M10" s="52" t="s">
        <v>467</v>
      </c>
      <c r="N10" s="52" t="s">
        <v>468</v>
      </c>
      <c r="O10" s="22" t="s">
        <v>76</v>
      </c>
      <c r="P10" s="57" t="s">
        <v>469</v>
      </c>
      <c r="Q10" s="58" t="s">
        <v>470</v>
      </c>
      <c r="R10" s="53"/>
      <c r="S10" s="56" t="s">
        <v>471</v>
      </c>
      <c r="T10" s="56" t="s">
        <v>471</v>
      </c>
      <c r="U10" s="36">
        <v>9</v>
      </c>
      <c r="V10" s="66" t="s">
        <v>472</v>
      </c>
      <c r="W10" s="66" t="s">
        <v>473</v>
      </c>
    </row>
    <row r="11" spans="1:23" ht="14" customHeight="1" x14ac:dyDescent="0.15">
      <c r="A11" s="4"/>
      <c r="B11" s="5"/>
      <c r="C11" s="30"/>
      <c r="D11" s="59">
        <f t="shared" si="0"/>
        <v>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6"/>
      <c r="Q11" s="36"/>
      <c r="R11" s="36"/>
      <c r="S11" s="36"/>
      <c r="T11" s="36"/>
      <c r="U11" s="36">
        <v>10</v>
      </c>
      <c r="V11" s="66" t="s">
        <v>474</v>
      </c>
      <c r="W11" s="66" t="s">
        <v>475</v>
      </c>
    </row>
    <row r="12" spans="1:23" ht="14" customHeight="1" x14ac:dyDescent="0.15">
      <c r="A12" s="6">
        <v>44958</v>
      </c>
      <c r="B12" s="7">
        <f>B10+21</f>
        <v>46132</v>
      </c>
      <c r="C12" s="48" t="s">
        <v>29</v>
      </c>
      <c r="D12" s="49">
        <f t="shared" si="0"/>
        <v>2</v>
      </c>
      <c r="E12" s="22" t="s">
        <v>86</v>
      </c>
      <c r="F12" s="21"/>
      <c r="G12" s="26">
        <v>1</v>
      </c>
      <c r="H12" s="21"/>
      <c r="I12" s="21">
        <v>1</v>
      </c>
      <c r="J12" s="36"/>
      <c r="K12" s="78" t="s">
        <v>476</v>
      </c>
      <c r="L12" s="78" t="s">
        <v>477</v>
      </c>
      <c r="M12" s="78" t="s">
        <v>478</v>
      </c>
      <c r="N12" s="22" t="s">
        <v>26</v>
      </c>
      <c r="O12" s="78" t="s">
        <v>479</v>
      </c>
      <c r="P12" s="56" t="s">
        <v>480</v>
      </c>
      <c r="Q12" s="56" t="s">
        <v>480</v>
      </c>
      <c r="R12" s="56" t="s">
        <v>481</v>
      </c>
      <c r="S12" s="56" t="s">
        <v>481</v>
      </c>
      <c r="T12" s="56" t="s">
        <v>482</v>
      </c>
      <c r="U12" s="36">
        <v>11</v>
      </c>
      <c r="V12" s="66" t="s">
        <v>483</v>
      </c>
      <c r="W12" s="66" t="s">
        <v>484</v>
      </c>
    </row>
    <row r="13" spans="1:23" ht="14" customHeight="1" x14ac:dyDescent="0.15">
      <c r="A13" s="6">
        <v>44959</v>
      </c>
      <c r="B13" s="8">
        <f t="shared" ref="B13:B21" si="2">B12+7</f>
        <v>46139</v>
      </c>
      <c r="C13" s="48" t="s">
        <v>19</v>
      </c>
      <c r="D13" s="49">
        <f t="shared" si="0"/>
        <v>5</v>
      </c>
      <c r="E13" s="21">
        <v>2</v>
      </c>
      <c r="F13" s="21"/>
      <c r="G13" s="21">
        <v>2</v>
      </c>
      <c r="H13" s="21"/>
      <c r="I13" s="21">
        <v>1</v>
      </c>
      <c r="J13" s="36"/>
      <c r="K13" s="71" t="s">
        <v>485</v>
      </c>
      <c r="L13" s="71" t="s">
        <v>486</v>
      </c>
      <c r="M13" s="71" t="s">
        <v>487</v>
      </c>
      <c r="N13" s="71" t="s">
        <v>488</v>
      </c>
      <c r="O13" s="80" t="s">
        <v>489</v>
      </c>
      <c r="P13" s="56" t="s">
        <v>482</v>
      </c>
      <c r="Q13" s="56" t="s">
        <v>490</v>
      </c>
      <c r="R13" s="53" t="s">
        <v>491</v>
      </c>
      <c r="S13" s="56" t="s">
        <v>492</v>
      </c>
      <c r="T13" s="56" t="s">
        <v>493</v>
      </c>
      <c r="U13" s="36">
        <v>12</v>
      </c>
      <c r="V13" s="66" t="s">
        <v>494</v>
      </c>
      <c r="W13" s="66" t="s">
        <v>495</v>
      </c>
    </row>
    <row r="14" spans="1:23" ht="14" customHeight="1" x14ac:dyDescent="0.15">
      <c r="A14" s="6">
        <v>44960</v>
      </c>
      <c r="B14" s="8">
        <f t="shared" si="2"/>
        <v>46146</v>
      </c>
      <c r="C14" s="48" t="s">
        <v>29</v>
      </c>
      <c r="D14" s="49">
        <f t="shared" si="0"/>
        <v>4</v>
      </c>
      <c r="E14" s="21">
        <v>2</v>
      </c>
      <c r="F14" s="21"/>
      <c r="G14" s="26">
        <v>1</v>
      </c>
      <c r="H14" s="21"/>
      <c r="I14" s="21">
        <v>1</v>
      </c>
      <c r="J14" s="36"/>
      <c r="K14" s="71" t="s">
        <v>496</v>
      </c>
      <c r="L14" s="71" t="s">
        <v>497</v>
      </c>
      <c r="M14" s="71" t="s">
        <v>498</v>
      </c>
      <c r="N14" s="22" t="s">
        <v>26</v>
      </c>
      <c r="O14" s="71" t="s">
        <v>499</v>
      </c>
      <c r="P14" s="56" t="s">
        <v>492</v>
      </c>
      <c r="Q14" s="56" t="s">
        <v>490</v>
      </c>
      <c r="R14" s="56" t="s">
        <v>500</v>
      </c>
      <c r="S14" s="36"/>
      <c r="T14" s="36"/>
      <c r="U14" s="36">
        <v>13</v>
      </c>
      <c r="V14" s="66" t="s">
        <v>501</v>
      </c>
      <c r="W14" s="66" t="s">
        <v>502</v>
      </c>
    </row>
    <row r="15" spans="1:23" ht="14" customHeight="1" x14ac:dyDescent="0.15">
      <c r="A15" s="6">
        <v>44961</v>
      </c>
      <c r="B15" s="8">
        <f t="shared" si="2"/>
        <v>46153</v>
      </c>
      <c r="C15" s="48" t="s">
        <v>19</v>
      </c>
      <c r="D15" s="49">
        <f t="shared" si="0"/>
        <v>5</v>
      </c>
      <c r="E15" s="21">
        <v>2</v>
      </c>
      <c r="F15" s="21"/>
      <c r="G15" s="21">
        <v>2</v>
      </c>
      <c r="H15" s="21"/>
      <c r="I15" s="21">
        <v>1</v>
      </c>
      <c r="J15" s="103" t="s">
        <v>503</v>
      </c>
      <c r="K15" s="103" t="s">
        <v>504</v>
      </c>
      <c r="L15" s="71" t="s">
        <v>505</v>
      </c>
      <c r="M15" s="71" t="s">
        <v>506</v>
      </c>
      <c r="N15" s="71" t="s">
        <v>507</v>
      </c>
      <c r="O15" s="71" t="s">
        <v>508</v>
      </c>
      <c r="P15" s="36"/>
      <c r="Q15" s="58" t="s">
        <v>509</v>
      </c>
      <c r="R15" s="53"/>
      <c r="S15" s="60" t="s">
        <v>510</v>
      </c>
      <c r="T15" s="60" t="s">
        <v>511</v>
      </c>
      <c r="U15" s="101">
        <v>14</v>
      </c>
      <c r="V15" s="66" t="s">
        <v>424</v>
      </c>
      <c r="W15" s="66" t="s">
        <v>512</v>
      </c>
    </row>
    <row r="16" spans="1:23" ht="14" customHeight="1" x14ac:dyDescent="0.15">
      <c r="A16" s="6">
        <v>44962</v>
      </c>
      <c r="B16" s="8">
        <f t="shared" si="2"/>
        <v>46160</v>
      </c>
      <c r="C16" s="48" t="s">
        <v>29</v>
      </c>
      <c r="D16" s="49">
        <f t="shared" si="0"/>
        <v>4</v>
      </c>
      <c r="E16" s="26">
        <v>2</v>
      </c>
      <c r="F16" s="26"/>
      <c r="G16" s="26">
        <v>1</v>
      </c>
      <c r="H16" s="21"/>
      <c r="I16" s="21">
        <v>1</v>
      </c>
      <c r="J16" s="36"/>
      <c r="K16" s="71" t="s">
        <v>513</v>
      </c>
      <c r="L16" s="71" t="s">
        <v>514</v>
      </c>
      <c r="M16" s="71" t="s">
        <v>515</v>
      </c>
      <c r="N16" s="22" t="s">
        <v>26</v>
      </c>
      <c r="O16" s="104" t="s">
        <v>516</v>
      </c>
      <c r="P16" s="60" t="s">
        <v>517</v>
      </c>
      <c r="Q16" s="60" t="s">
        <v>518</v>
      </c>
      <c r="R16" s="53"/>
      <c r="S16" s="60" t="s">
        <v>518</v>
      </c>
      <c r="T16" s="60" t="s">
        <v>519</v>
      </c>
      <c r="U16" s="36">
        <v>15</v>
      </c>
      <c r="V16" s="66" t="s">
        <v>520</v>
      </c>
      <c r="W16" s="66" t="s">
        <v>521</v>
      </c>
    </row>
    <row r="17" spans="1:23" ht="14" customHeight="1" x14ac:dyDescent="0.15">
      <c r="A17" s="6">
        <v>44963</v>
      </c>
      <c r="B17" s="8">
        <f t="shared" si="2"/>
        <v>46167</v>
      </c>
      <c r="C17" s="48" t="s">
        <v>19</v>
      </c>
      <c r="D17" s="49">
        <f t="shared" si="0"/>
        <v>4</v>
      </c>
      <c r="E17" s="21">
        <v>2</v>
      </c>
      <c r="F17" s="21"/>
      <c r="G17" s="21">
        <v>2</v>
      </c>
      <c r="H17" s="21"/>
      <c r="I17" s="20" t="s">
        <v>116</v>
      </c>
      <c r="J17" s="36"/>
      <c r="K17" s="71" t="s">
        <v>522</v>
      </c>
      <c r="L17" s="71" t="s">
        <v>523</v>
      </c>
      <c r="M17" s="71" t="s">
        <v>524</v>
      </c>
      <c r="N17" s="71" t="s">
        <v>525</v>
      </c>
      <c r="O17" s="20" t="s">
        <v>116</v>
      </c>
      <c r="P17" s="60"/>
      <c r="Q17" s="60"/>
      <c r="R17" s="60"/>
      <c r="S17" s="60"/>
      <c r="T17" s="60"/>
      <c r="U17" s="36">
        <v>16</v>
      </c>
      <c r="V17" s="66" t="s">
        <v>415</v>
      </c>
      <c r="W17" s="66" t="s">
        <v>526</v>
      </c>
    </row>
    <row r="18" spans="1:23" ht="14" customHeight="1" x14ac:dyDescent="0.15">
      <c r="A18" s="6">
        <v>44964</v>
      </c>
      <c r="B18" s="8">
        <f t="shared" si="2"/>
        <v>46174</v>
      </c>
      <c r="C18" s="48" t="s">
        <v>29</v>
      </c>
      <c r="D18" s="49">
        <f t="shared" si="0"/>
        <v>4</v>
      </c>
      <c r="E18" s="21">
        <v>2</v>
      </c>
      <c r="F18" s="21"/>
      <c r="G18" s="26">
        <v>1</v>
      </c>
      <c r="H18" s="21"/>
      <c r="I18" s="21">
        <v>1</v>
      </c>
      <c r="J18" s="36"/>
      <c r="K18" s="71" t="s">
        <v>527</v>
      </c>
      <c r="L18" s="71" t="s">
        <v>528</v>
      </c>
      <c r="M18" s="71" t="s">
        <v>529</v>
      </c>
      <c r="N18" s="22" t="s">
        <v>26</v>
      </c>
      <c r="O18" s="71" t="s">
        <v>530</v>
      </c>
      <c r="P18" s="60" t="s">
        <v>519</v>
      </c>
      <c r="Q18" s="60" t="s">
        <v>531</v>
      </c>
      <c r="R18" s="60" t="s">
        <v>531</v>
      </c>
      <c r="S18" s="60" t="s">
        <v>532</v>
      </c>
      <c r="T18" s="60" t="s">
        <v>532</v>
      </c>
      <c r="U18" s="36">
        <v>17</v>
      </c>
      <c r="V18" s="66" t="s">
        <v>533</v>
      </c>
      <c r="W18" s="66" t="s">
        <v>534</v>
      </c>
    </row>
    <row r="19" spans="1:23" ht="14" customHeight="1" x14ac:dyDescent="0.15">
      <c r="A19" s="6">
        <v>44965</v>
      </c>
      <c r="B19" s="8">
        <f t="shared" si="2"/>
        <v>46181</v>
      </c>
      <c r="C19" s="48" t="s">
        <v>19</v>
      </c>
      <c r="D19" s="49">
        <f t="shared" si="0"/>
        <v>3</v>
      </c>
      <c r="E19" s="20" t="s">
        <v>131</v>
      </c>
      <c r="F19" s="21"/>
      <c r="G19" s="21">
        <v>2</v>
      </c>
      <c r="H19" s="21"/>
      <c r="I19" s="21">
        <v>1</v>
      </c>
      <c r="J19" s="36"/>
      <c r="K19" s="20" t="s">
        <v>131</v>
      </c>
      <c r="L19" s="20" t="s">
        <v>131</v>
      </c>
      <c r="M19" s="80" t="s">
        <v>535</v>
      </c>
      <c r="N19" s="36" t="s">
        <v>536</v>
      </c>
      <c r="O19" s="36" t="s">
        <v>536</v>
      </c>
      <c r="P19" s="58" t="s">
        <v>537</v>
      </c>
      <c r="Q19" s="62" t="s">
        <v>538</v>
      </c>
      <c r="R19" s="53"/>
      <c r="S19" s="62" t="s">
        <v>539</v>
      </c>
      <c r="T19" s="62" t="s">
        <v>540</v>
      </c>
      <c r="U19" s="36">
        <v>18</v>
      </c>
      <c r="V19" s="66" t="s">
        <v>541</v>
      </c>
      <c r="W19" s="66" t="s">
        <v>542</v>
      </c>
    </row>
    <row r="20" spans="1:23" ht="14" customHeight="1" x14ac:dyDescent="0.15">
      <c r="A20" s="6">
        <v>44966</v>
      </c>
      <c r="B20" s="8">
        <f t="shared" si="2"/>
        <v>46188</v>
      </c>
      <c r="C20" s="48" t="s">
        <v>29</v>
      </c>
      <c r="D20" s="49">
        <f t="shared" si="0"/>
        <v>2</v>
      </c>
      <c r="E20" s="21">
        <v>2</v>
      </c>
      <c r="F20" s="20" t="s">
        <v>136</v>
      </c>
      <c r="G20" s="20" t="s">
        <v>543</v>
      </c>
      <c r="H20" s="20" t="s">
        <v>543</v>
      </c>
      <c r="I20" s="20" t="s">
        <v>543</v>
      </c>
      <c r="J20" s="36"/>
      <c r="K20" s="20" t="s">
        <v>543</v>
      </c>
      <c r="L20" s="20" t="s">
        <v>543</v>
      </c>
      <c r="M20" s="20" t="s">
        <v>543</v>
      </c>
      <c r="N20" s="20" t="s">
        <v>543</v>
      </c>
      <c r="O20" s="20" t="s">
        <v>543</v>
      </c>
      <c r="P20" s="36"/>
      <c r="Q20" s="36"/>
      <c r="R20" s="36"/>
      <c r="S20" s="36"/>
      <c r="T20" s="36"/>
      <c r="U20" s="36">
        <v>19</v>
      </c>
      <c r="V20" s="66" t="s">
        <v>417</v>
      </c>
      <c r="W20" s="66" t="s">
        <v>544</v>
      </c>
    </row>
    <row r="21" spans="1:23" ht="14" customHeight="1" x14ac:dyDescent="0.15">
      <c r="A21" s="6">
        <v>44967</v>
      </c>
      <c r="B21" s="8">
        <f t="shared" si="2"/>
        <v>46195</v>
      </c>
      <c r="C21" s="48" t="s">
        <v>19</v>
      </c>
      <c r="D21" s="49">
        <f t="shared" si="0"/>
        <v>0</v>
      </c>
      <c r="E21" s="20" t="s">
        <v>543</v>
      </c>
      <c r="F21" s="22" t="s">
        <v>143</v>
      </c>
      <c r="G21" s="22" t="s">
        <v>143</v>
      </c>
      <c r="H21" s="22" t="s">
        <v>143</v>
      </c>
      <c r="I21" s="22" t="s">
        <v>143</v>
      </c>
      <c r="J21" s="36"/>
      <c r="K21" s="20" t="s">
        <v>543</v>
      </c>
      <c r="L21" s="22" t="s">
        <v>143</v>
      </c>
      <c r="M21" s="22" t="s">
        <v>143</v>
      </c>
      <c r="N21" s="22" t="s">
        <v>143</v>
      </c>
      <c r="O21" s="22" t="s">
        <v>143</v>
      </c>
      <c r="P21" s="62" t="s">
        <v>540</v>
      </c>
      <c r="Q21" s="62" t="s">
        <v>545</v>
      </c>
      <c r="R21" s="53"/>
      <c r="S21" s="62" t="s">
        <v>546</v>
      </c>
      <c r="T21" s="62"/>
      <c r="U21" s="36">
        <v>20</v>
      </c>
      <c r="V21" s="66" t="s">
        <v>547</v>
      </c>
      <c r="W21" s="66" t="s">
        <v>548</v>
      </c>
    </row>
    <row r="22" spans="1:23" ht="14" customHeight="1" x14ac:dyDescent="0.15">
      <c r="A22" s="11"/>
      <c r="B22" s="12"/>
      <c r="C22" s="30"/>
      <c r="D22" s="5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62" t="s">
        <v>549</v>
      </c>
      <c r="Q22" s="62" t="s">
        <v>550</v>
      </c>
      <c r="R22" s="62" t="s">
        <v>551</v>
      </c>
      <c r="S22" s="62" t="s">
        <v>552</v>
      </c>
      <c r="T22" s="62" t="s">
        <v>553</v>
      </c>
      <c r="U22" s="36">
        <v>21</v>
      </c>
      <c r="V22" s="66" t="s">
        <v>554</v>
      </c>
      <c r="W22" s="66" t="s">
        <v>555</v>
      </c>
    </row>
    <row r="23" spans="1:23" ht="14" customHeight="1" x14ac:dyDescent="0.15">
      <c r="A23" s="9">
        <v>44986</v>
      </c>
      <c r="B23" s="3">
        <f>B21+28</f>
        <v>46223</v>
      </c>
      <c r="C23" s="48" t="s">
        <v>29</v>
      </c>
      <c r="D23" s="49">
        <f t="shared" ref="D23:D31" si="3">SUM(E23:I23)</f>
        <v>2</v>
      </c>
      <c r="E23" s="22" t="s">
        <v>86</v>
      </c>
      <c r="F23" s="21"/>
      <c r="G23" s="26">
        <v>1</v>
      </c>
      <c r="H23" s="21"/>
      <c r="I23" s="21">
        <v>1</v>
      </c>
      <c r="J23" s="36"/>
      <c r="K23" s="127" t="s">
        <v>556</v>
      </c>
      <c r="L23" s="73" t="s">
        <v>557</v>
      </c>
      <c r="M23" s="73" t="s">
        <v>558</v>
      </c>
      <c r="N23" s="22" t="s">
        <v>26</v>
      </c>
      <c r="O23" s="73" t="s">
        <v>559</v>
      </c>
      <c r="P23" s="36"/>
      <c r="Q23" s="36"/>
      <c r="R23" s="36"/>
      <c r="S23" s="36"/>
      <c r="T23" s="36"/>
      <c r="U23" s="36">
        <v>22</v>
      </c>
      <c r="V23" s="66" t="s">
        <v>419</v>
      </c>
      <c r="W23" s="66" t="s">
        <v>560</v>
      </c>
    </row>
    <row r="24" spans="1:23" ht="14" customHeight="1" x14ac:dyDescent="0.15">
      <c r="A24" s="9">
        <v>44987</v>
      </c>
      <c r="B24" s="3">
        <f t="shared" ref="B24:B31" si="4">B23+7</f>
        <v>46230</v>
      </c>
      <c r="C24" s="48" t="s">
        <v>19</v>
      </c>
      <c r="D24" s="49">
        <f t="shared" si="3"/>
        <v>5</v>
      </c>
      <c r="E24" s="21">
        <v>2</v>
      </c>
      <c r="F24" s="21"/>
      <c r="G24" s="21">
        <v>2</v>
      </c>
      <c r="H24" s="21"/>
      <c r="I24" s="26">
        <v>1</v>
      </c>
      <c r="J24" s="36"/>
      <c r="K24" s="73" t="s">
        <v>561</v>
      </c>
      <c r="L24" s="73" t="s">
        <v>562</v>
      </c>
      <c r="M24" s="130" t="s">
        <v>563</v>
      </c>
      <c r="N24" s="130" t="s">
        <v>564</v>
      </c>
      <c r="O24" s="73" t="s">
        <v>565</v>
      </c>
      <c r="P24" s="60" t="s">
        <v>511</v>
      </c>
      <c r="Q24" s="60"/>
      <c r="R24" s="60" t="s">
        <v>566</v>
      </c>
      <c r="S24" s="60" t="s">
        <v>567</v>
      </c>
      <c r="T24" s="60" t="s">
        <v>568</v>
      </c>
      <c r="U24" s="36">
        <v>23</v>
      </c>
      <c r="V24" s="66" t="s">
        <v>569</v>
      </c>
      <c r="W24" s="66" t="s">
        <v>570</v>
      </c>
    </row>
    <row r="25" spans="1:23" ht="14" customHeight="1" x14ac:dyDescent="0.15">
      <c r="A25" s="9">
        <v>44988</v>
      </c>
      <c r="B25" s="3">
        <f t="shared" si="4"/>
        <v>46237</v>
      </c>
      <c r="C25" s="48" t="s">
        <v>29</v>
      </c>
      <c r="D25" s="49">
        <f t="shared" si="3"/>
        <v>4</v>
      </c>
      <c r="E25" s="21">
        <v>2</v>
      </c>
      <c r="F25" s="21"/>
      <c r="G25" s="26">
        <v>1</v>
      </c>
      <c r="H25" s="21"/>
      <c r="I25" s="21">
        <v>1</v>
      </c>
      <c r="J25" s="36"/>
      <c r="K25" s="73" t="s">
        <v>571</v>
      </c>
      <c r="L25" s="73" t="s">
        <v>572</v>
      </c>
      <c r="M25" s="130" t="s">
        <v>573</v>
      </c>
      <c r="N25" s="105" t="s">
        <v>26</v>
      </c>
      <c r="O25" s="80" t="s">
        <v>574</v>
      </c>
      <c r="P25" s="53"/>
      <c r="Q25" s="53"/>
      <c r="R25" s="53"/>
      <c r="S25" s="53"/>
      <c r="T25" s="53"/>
      <c r="U25" s="36">
        <v>24</v>
      </c>
      <c r="V25" s="66" t="s">
        <v>436</v>
      </c>
      <c r="W25" s="66" t="s">
        <v>575</v>
      </c>
    </row>
    <row r="26" spans="1:23" ht="14" customHeight="1" x14ac:dyDescent="0.15">
      <c r="A26" s="9">
        <v>44989</v>
      </c>
      <c r="B26" s="3">
        <f t="shared" si="4"/>
        <v>46244</v>
      </c>
      <c r="C26" s="48" t="s">
        <v>19</v>
      </c>
      <c r="D26" s="49">
        <f t="shared" si="3"/>
        <v>5</v>
      </c>
      <c r="E26" s="21">
        <v>2</v>
      </c>
      <c r="F26" s="20" t="s">
        <v>169</v>
      </c>
      <c r="G26" s="21">
        <v>2</v>
      </c>
      <c r="H26" s="21"/>
      <c r="I26" s="26">
        <v>1</v>
      </c>
      <c r="J26" s="36"/>
      <c r="K26" s="73" t="s">
        <v>576</v>
      </c>
      <c r="L26" s="73" t="s">
        <v>577</v>
      </c>
      <c r="M26" s="130" t="s">
        <v>578</v>
      </c>
      <c r="N26" s="130" t="s">
        <v>579</v>
      </c>
      <c r="O26" s="73" t="s">
        <v>580</v>
      </c>
      <c r="P26" s="62" t="s">
        <v>581</v>
      </c>
      <c r="Q26" s="62" t="s">
        <v>582</v>
      </c>
      <c r="R26" s="53"/>
      <c r="S26" s="62" t="s">
        <v>583</v>
      </c>
      <c r="T26" s="62" t="s">
        <v>584</v>
      </c>
      <c r="U26" s="36">
        <v>25</v>
      </c>
      <c r="V26" s="66" t="s">
        <v>585</v>
      </c>
      <c r="W26" s="66" t="s">
        <v>586</v>
      </c>
    </row>
    <row r="27" spans="1:23" ht="14" customHeight="1" x14ac:dyDescent="0.15">
      <c r="A27" s="9">
        <v>44990</v>
      </c>
      <c r="B27" s="3">
        <f t="shared" si="4"/>
        <v>46251</v>
      </c>
      <c r="C27" s="48" t="s">
        <v>29</v>
      </c>
      <c r="D27" s="49">
        <f t="shared" si="3"/>
        <v>4</v>
      </c>
      <c r="E27" s="21">
        <v>2</v>
      </c>
      <c r="F27" s="21"/>
      <c r="G27" s="26">
        <v>1</v>
      </c>
      <c r="H27" s="21"/>
      <c r="I27" s="21">
        <v>1</v>
      </c>
      <c r="J27" s="20" t="s">
        <v>587</v>
      </c>
      <c r="K27" s="73" t="s">
        <v>588</v>
      </c>
      <c r="L27" s="73" t="s">
        <v>589</v>
      </c>
      <c r="M27" s="130" t="s">
        <v>590</v>
      </c>
      <c r="N27" s="105" t="s">
        <v>26</v>
      </c>
      <c r="O27" s="73" t="s">
        <v>591</v>
      </c>
      <c r="P27" s="62" t="s">
        <v>592</v>
      </c>
      <c r="Q27" s="62" t="s">
        <v>593</v>
      </c>
      <c r="R27" s="62" t="s">
        <v>583</v>
      </c>
      <c r="S27" s="62" t="s">
        <v>594</v>
      </c>
      <c r="T27" s="62" t="s">
        <v>595</v>
      </c>
      <c r="U27" s="36">
        <v>26</v>
      </c>
      <c r="V27" s="66" t="s">
        <v>596</v>
      </c>
      <c r="W27" s="66" t="s">
        <v>597</v>
      </c>
    </row>
    <row r="28" spans="1:23" ht="14" customHeight="1" x14ac:dyDescent="0.15">
      <c r="A28" s="9">
        <v>44991</v>
      </c>
      <c r="B28" s="3">
        <f t="shared" si="4"/>
        <v>46258</v>
      </c>
      <c r="C28" s="48" t="s">
        <v>19</v>
      </c>
      <c r="D28" s="49">
        <f t="shared" si="3"/>
        <v>5</v>
      </c>
      <c r="E28" s="21">
        <v>2</v>
      </c>
      <c r="F28" s="21"/>
      <c r="G28" s="21">
        <v>2</v>
      </c>
      <c r="H28" s="21"/>
      <c r="I28" s="26">
        <v>1</v>
      </c>
      <c r="J28" s="36"/>
      <c r="K28" s="73" t="s">
        <v>598</v>
      </c>
      <c r="L28" s="73" t="s">
        <v>599</v>
      </c>
      <c r="M28" s="130" t="s">
        <v>600</v>
      </c>
      <c r="N28" s="130" t="s">
        <v>601</v>
      </c>
      <c r="O28" s="80" t="s">
        <v>602</v>
      </c>
      <c r="P28" s="62"/>
      <c r="Q28" s="62" t="s">
        <v>603</v>
      </c>
      <c r="R28" s="53"/>
      <c r="S28" s="62" t="s">
        <v>603</v>
      </c>
      <c r="T28" s="62" t="s">
        <v>604</v>
      </c>
      <c r="U28" s="36">
        <v>27</v>
      </c>
      <c r="V28" s="66" t="s">
        <v>605</v>
      </c>
      <c r="W28" s="66" t="s">
        <v>606</v>
      </c>
    </row>
    <row r="29" spans="1:23" ht="14" customHeight="1" x14ac:dyDescent="0.15">
      <c r="A29" s="9">
        <v>44992</v>
      </c>
      <c r="B29" s="3">
        <f t="shared" si="4"/>
        <v>46265</v>
      </c>
      <c r="C29" s="48" t="s">
        <v>29</v>
      </c>
      <c r="D29" s="49">
        <f t="shared" si="3"/>
        <v>4</v>
      </c>
      <c r="E29" s="26">
        <v>2</v>
      </c>
      <c r="F29" s="21"/>
      <c r="G29" s="26">
        <v>1</v>
      </c>
      <c r="H29" s="21"/>
      <c r="I29" s="21">
        <v>1</v>
      </c>
      <c r="J29" s="36"/>
      <c r="K29" s="73" t="s">
        <v>607</v>
      </c>
      <c r="L29" s="73" t="s">
        <v>608</v>
      </c>
      <c r="M29" s="130" t="s">
        <v>609</v>
      </c>
      <c r="N29" s="105" t="s">
        <v>26</v>
      </c>
      <c r="O29" s="130" t="s">
        <v>610</v>
      </c>
      <c r="P29" s="62" t="s">
        <v>604</v>
      </c>
      <c r="Q29" s="62" t="s">
        <v>604</v>
      </c>
      <c r="R29" s="62" t="s">
        <v>604</v>
      </c>
      <c r="S29" s="62" t="s">
        <v>611</v>
      </c>
      <c r="T29" s="62" t="s">
        <v>612</v>
      </c>
      <c r="U29" s="36">
        <v>28</v>
      </c>
      <c r="V29" s="66" t="s">
        <v>433</v>
      </c>
      <c r="W29" s="66" t="s">
        <v>613</v>
      </c>
    </row>
    <row r="30" spans="1:23" ht="14" customHeight="1" x14ac:dyDescent="0.15">
      <c r="A30" s="9">
        <v>44993</v>
      </c>
      <c r="B30" s="3">
        <f t="shared" si="4"/>
        <v>46272</v>
      </c>
      <c r="C30" s="48" t="s">
        <v>19</v>
      </c>
      <c r="D30" s="49">
        <f t="shared" si="3"/>
        <v>5</v>
      </c>
      <c r="E30" s="21">
        <v>2</v>
      </c>
      <c r="F30" s="21"/>
      <c r="G30" s="21">
        <v>2</v>
      </c>
      <c r="H30" s="21"/>
      <c r="I30" s="26">
        <v>1</v>
      </c>
      <c r="J30" s="36"/>
      <c r="K30" s="73" t="s">
        <v>614</v>
      </c>
      <c r="L30" s="73" t="s">
        <v>615</v>
      </c>
      <c r="M30" s="130" t="s">
        <v>616</v>
      </c>
      <c r="N30" s="130" t="s">
        <v>617</v>
      </c>
      <c r="O30" s="73" t="s">
        <v>618</v>
      </c>
      <c r="P30" s="64" t="s">
        <v>546</v>
      </c>
      <c r="Q30" s="64" t="s">
        <v>619</v>
      </c>
      <c r="R30" s="53"/>
      <c r="S30" s="64" t="s">
        <v>620</v>
      </c>
      <c r="T30" s="64" t="s">
        <v>621</v>
      </c>
      <c r="U30" s="36">
        <v>29</v>
      </c>
      <c r="V30" s="66" t="s">
        <v>622</v>
      </c>
      <c r="W30" s="66" t="s">
        <v>623</v>
      </c>
    </row>
    <row r="31" spans="1:23" ht="14" customHeight="1" x14ac:dyDescent="0.15">
      <c r="A31" s="9">
        <v>44994</v>
      </c>
      <c r="B31" s="3">
        <f t="shared" si="4"/>
        <v>46279</v>
      </c>
      <c r="C31" s="48" t="s">
        <v>29</v>
      </c>
      <c r="D31" s="49">
        <f t="shared" si="3"/>
        <v>4</v>
      </c>
      <c r="E31" s="21">
        <v>2</v>
      </c>
      <c r="F31" s="21"/>
      <c r="G31" s="21">
        <v>1</v>
      </c>
      <c r="H31" s="21"/>
      <c r="I31" s="21">
        <v>1</v>
      </c>
      <c r="J31" s="36"/>
      <c r="K31" s="73" t="s">
        <v>624</v>
      </c>
      <c r="L31" s="73" t="s">
        <v>625</v>
      </c>
      <c r="M31" s="73" t="s">
        <v>626</v>
      </c>
      <c r="N31" s="22" t="s">
        <v>26</v>
      </c>
      <c r="O31" s="80" t="s">
        <v>627</v>
      </c>
      <c r="P31" s="62" t="s">
        <v>628</v>
      </c>
      <c r="Q31" s="65" t="s">
        <v>629</v>
      </c>
      <c r="R31" s="65" t="s">
        <v>630</v>
      </c>
      <c r="S31" s="58" t="s">
        <v>631</v>
      </c>
      <c r="T31" s="65" t="s">
        <v>632</v>
      </c>
      <c r="U31" s="36">
        <v>30</v>
      </c>
      <c r="V31" s="66" t="s">
        <v>633</v>
      </c>
      <c r="W31" s="66" t="s">
        <v>634</v>
      </c>
    </row>
    <row r="32" spans="1:23" ht="14" customHeight="1" x14ac:dyDescent="0.15">
      <c r="A32" s="11"/>
      <c r="B32" s="12"/>
      <c r="C32" s="30"/>
      <c r="D32" s="5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65" t="s">
        <v>635</v>
      </c>
      <c r="Q32" s="65" t="s">
        <v>636</v>
      </c>
      <c r="R32" s="53"/>
      <c r="S32" s="65" t="s">
        <v>637</v>
      </c>
      <c r="T32" s="65" t="s">
        <v>637</v>
      </c>
      <c r="U32" s="36">
        <v>31</v>
      </c>
      <c r="V32" s="66" t="s">
        <v>638</v>
      </c>
      <c r="W32" s="66" t="s">
        <v>639</v>
      </c>
    </row>
    <row r="33" spans="1:23" ht="14" customHeight="1" x14ac:dyDescent="0.15">
      <c r="A33" s="10">
        <v>45017</v>
      </c>
      <c r="B33" s="8">
        <f>B31+21</f>
        <v>46300</v>
      </c>
      <c r="C33" s="48" t="s">
        <v>19</v>
      </c>
      <c r="D33" s="49">
        <f t="shared" ref="D33:D42" si="5">SUM(E33:I33)</f>
        <v>5</v>
      </c>
      <c r="E33" s="21">
        <v>2</v>
      </c>
      <c r="F33" s="21"/>
      <c r="G33" s="21">
        <v>2</v>
      </c>
      <c r="H33" s="21"/>
      <c r="I33" s="21">
        <v>1</v>
      </c>
      <c r="J33" s="36"/>
      <c r="K33" s="21" t="s">
        <v>640</v>
      </c>
      <c r="L33" s="21" t="s">
        <v>640</v>
      </c>
      <c r="M33" s="132" t="s">
        <v>641</v>
      </c>
      <c r="N33" s="132" t="s">
        <v>641</v>
      </c>
      <c r="O33" s="21" t="s">
        <v>640</v>
      </c>
      <c r="P33" s="58" t="s">
        <v>642</v>
      </c>
      <c r="Q33" s="58" t="s">
        <v>642</v>
      </c>
      <c r="R33" s="58" t="s">
        <v>642</v>
      </c>
      <c r="S33" s="58" t="s">
        <v>642</v>
      </c>
      <c r="T33" s="58" t="s">
        <v>642</v>
      </c>
      <c r="U33" s="36">
        <v>32</v>
      </c>
      <c r="V33" s="66" t="s">
        <v>643</v>
      </c>
      <c r="W33" s="66" t="s">
        <v>644</v>
      </c>
    </row>
    <row r="34" spans="1:23" ht="14" customHeight="1" x14ac:dyDescent="0.15">
      <c r="A34" s="10">
        <v>45018</v>
      </c>
      <c r="B34" s="8">
        <f t="shared" ref="B34:B42" si="6">B33+7</f>
        <v>46307</v>
      </c>
      <c r="C34" s="48" t="s">
        <v>29</v>
      </c>
      <c r="D34" s="49">
        <f t="shared" si="5"/>
        <v>4</v>
      </c>
      <c r="E34" s="21">
        <v>2</v>
      </c>
      <c r="F34" s="21"/>
      <c r="G34" s="26">
        <v>1</v>
      </c>
      <c r="H34" s="21"/>
      <c r="I34" s="34">
        <v>1</v>
      </c>
      <c r="J34" s="36"/>
      <c r="K34" s="36" t="s">
        <v>182</v>
      </c>
      <c r="L34" s="36" t="s">
        <v>182</v>
      </c>
      <c r="M34" s="36" t="s">
        <v>182</v>
      </c>
      <c r="N34" s="22" t="s">
        <v>26</v>
      </c>
      <c r="O34" s="36" t="s">
        <v>182</v>
      </c>
      <c r="P34" s="36" t="s">
        <v>182</v>
      </c>
      <c r="Q34" s="36" t="s">
        <v>182</v>
      </c>
      <c r="R34" s="36"/>
      <c r="S34" s="36"/>
      <c r="T34" s="36"/>
      <c r="U34" s="36">
        <v>33</v>
      </c>
      <c r="V34" s="66" t="s">
        <v>437</v>
      </c>
      <c r="W34" s="66" t="s">
        <v>645</v>
      </c>
    </row>
    <row r="35" spans="1:23" ht="14" customHeight="1" x14ac:dyDescent="0.15">
      <c r="A35" s="10">
        <v>45019</v>
      </c>
      <c r="B35" s="8">
        <f t="shared" si="6"/>
        <v>46314</v>
      </c>
      <c r="C35" s="48" t="s">
        <v>19</v>
      </c>
      <c r="D35" s="49">
        <f t="shared" si="5"/>
        <v>5</v>
      </c>
      <c r="E35" s="21">
        <v>2</v>
      </c>
      <c r="F35" s="36"/>
      <c r="G35" s="21">
        <v>2</v>
      </c>
      <c r="H35" s="34"/>
      <c r="I35" s="34">
        <v>1</v>
      </c>
      <c r="J35" s="36"/>
      <c r="K35" s="36" t="s">
        <v>646</v>
      </c>
      <c r="L35" s="36" t="s">
        <v>646</v>
      </c>
      <c r="M35" s="36" t="s">
        <v>646</v>
      </c>
      <c r="N35" s="36" t="s">
        <v>182</v>
      </c>
      <c r="O35" s="36" t="s">
        <v>182</v>
      </c>
      <c r="P35" s="53" t="s">
        <v>647</v>
      </c>
      <c r="Q35" s="53" t="s">
        <v>647</v>
      </c>
      <c r="R35" s="53" t="s">
        <v>647</v>
      </c>
      <c r="S35" s="53" t="s">
        <v>647</v>
      </c>
      <c r="T35" s="53" t="s">
        <v>647</v>
      </c>
      <c r="U35" s="36">
        <v>34</v>
      </c>
      <c r="V35" s="66" t="s">
        <v>648</v>
      </c>
      <c r="W35" s="66" t="s">
        <v>649</v>
      </c>
    </row>
    <row r="36" spans="1:23" ht="14" customHeight="1" x14ac:dyDescent="0.15">
      <c r="A36" s="10">
        <v>45020</v>
      </c>
      <c r="B36" s="8">
        <f t="shared" si="6"/>
        <v>46321</v>
      </c>
      <c r="C36" s="48" t="s">
        <v>29</v>
      </c>
      <c r="D36" s="49">
        <f t="shared" si="5"/>
        <v>4</v>
      </c>
      <c r="E36" s="21">
        <v>2</v>
      </c>
      <c r="F36" s="34"/>
      <c r="G36" s="26">
        <v>1</v>
      </c>
      <c r="H36" s="34"/>
      <c r="I36" s="34">
        <v>1</v>
      </c>
      <c r="J36" s="36"/>
      <c r="K36" s="36" t="s">
        <v>650</v>
      </c>
      <c r="L36" s="36" t="s">
        <v>650</v>
      </c>
      <c r="M36" s="36" t="s">
        <v>650</v>
      </c>
      <c r="N36" s="22" t="s">
        <v>26</v>
      </c>
      <c r="O36" s="36" t="s">
        <v>650</v>
      </c>
      <c r="P36" s="53" t="s">
        <v>647</v>
      </c>
      <c r="Q36" s="53" t="s">
        <v>647</v>
      </c>
      <c r="R36" s="50"/>
      <c r="S36" s="53" t="s">
        <v>647</v>
      </c>
      <c r="T36" s="53" t="s">
        <v>647</v>
      </c>
      <c r="U36" s="36">
        <v>35</v>
      </c>
      <c r="V36" s="66" t="s">
        <v>651</v>
      </c>
      <c r="W36" s="66" t="s">
        <v>652</v>
      </c>
    </row>
    <row r="37" spans="1:23" ht="14" customHeight="1" x14ac:dyDescent="0.15">
      <c r="A37" s="10">
        <v>45021</v>
      </c>
      <c r="B37" s="8">
        <f t="shared" si="6"/>
        <v>46328</v>
      </c>
      <c r="C37" s="48" t="s">
        <v>19</v>
      </c>
      <c r="D37" s="49">
        <f t="shared" si="5"/>
        <v>3</v>
      </c>
      <c r="E37" s="20" t="s">
        <v>205</v>
      </c>
      <c r="F37" s="20" t="s">
        <v>205</v>
      </c>
      <c r="G37" s="21">
        <v>2</v>
      </c>
      <c r="H37" s="21"/>
      <c r="I37" s="21">
        <v>1</v>
      </c>
      <c r="J37" s="36"/>
      <c r="K37" s="20" t="s">
        <v>205</v>
      </c>
      <c r="L37" s="20" t="s">
        <v>205</v>
      </c>
      <c r="M37" s="36" t="s">
        <v>653</v>
      </c>
      <c r="N37" s="36" t="s">
        <v>653</v>
      </c>
      <c r="O37" s="36" t="s">
        <v>653</v>
      </c>
      <c r="P37" s="36"/>
      <c r="Q37" s="36"/>
      <c r="R37" s="36"/>
      <c r="S37" s="36"/>
      <c r="T37" s="36"/>
      <c r="U37" s="101">
        <v>36</v>
      </c>
      <c r="V37" s="66" t="s">
        <v>443</v>
      </c>
      <c r="W37" s="66" t="s">
        <v>654</v>
      </c>
    </row>
    <row r="38" spans="1:23" ht="14" customHeight="1" x14ac:dyDescent="0.15">
      <c r="A38" s="10">
        <v>45022</v>
      </c>
      <c r="B38" s="8">
        <f t="shared" si="6"/>
        <v>46335</v>
      </c>
      <c r="C38" s="48" t="s">
        <v>29</v>
      </c>
      <c r="D38" s="49">
        <f t="shared" si="5"/>
        <v>3</v>
      </c>
      <c r="E38" s="21">
        <v>2</v>
      </c>
      <c r="F38" s="21"/>
      <c r="G38" s="26">
        <v>1</v>
      </c>
      <c r="H38" s="21"/>
      <c r="I38" s="20" t="s">
        <v>208</v>
      </c>
      <c r="J38" s="36"/>
      <c r="K38" s="36" t="s">
        <v>653</v>
      </c>
      <c r="L38" s="36" t="s">
        <v>653</v>
      </c>
      <c r="M38" s="36" t="s">
        <v>653</v>
      </c>
      <c r="N38" s="22" t="s">
        <v>26</v>
      </c>
      <c r="O38" s="20" t="s">
        <v>543</v>
      </c>
      <c r="P38" s="36"/>
      <c r="Q38" s="36"/>
      <c r="R38" s="36"/>
      <c r="S38" s="36"/>
      <c r="T38" s="36"/>
      <c r="U38" s="36">
        <v>37</v>
      </c>
      <c r="V38" s="52" t="s">
        <v>655</v>
      </c>
      <c r="W38" s="52" t="s">
        <v>656</v>
      </c>
    </row>
    <row r="39" spans="1:23" ht="14" customHeight="1" x14ac:dyDescent="0.15">
      <c r="A39" s="10">
        <v>45023</v>
      </c>
      <c r="B39" s="8">
        <f t="shared" si="6"/>
        <v>46342</v>
      </c>
      <c r="C39" s="48" t="s">
        <v>29</v>
      </c>
      <c r="D39" s="49">
        <f t="shared" si="5"/>
        <v>0</v>
      </c>
      <c r="E39" s="20" t="s">
        <v>208</v>
      </c>
      <c r="F39" s="20" t="s">
        <v>208</v>
      </c>
      <c r="G39" s="20" t="s">
        <v>208</v>
      </c>
      <c r="H39" s="20" t="s">
        <v>208</v>
      </c>
      <c r="I39" s="20" t="s">
        <v>116</v>
      </c>
      <c r="J39" s="36"/>
      <c r="K39" s="20" t="s">
        <v>543</v>
      </c>
      <c r="L39" s="20" t="s">
        <v>543</v>
      </c>
      <c r="M39" s="20" t="s">
        <v>543</v>
      </c>
      <c r="N39" s="20" t="s">
        <v>543</v>
      </c>
      <c r="O39" s="20" t="s">
        <v>543</v>
      </c>
      <c r="P39" s="36"/>
      <c r="Q39" s="36"/>
      <c r="R39" s="36"/>
      <c r="S39" s="36"/>
      <c r="T39" s="36"/>
      <c r="U39" s="36">
        <v>38</v>
      </c>
      <c r="V39" s="52" t="s">
        <v>657</v>
      </c>
      <c r="W39" s="52" t="s">
        <v>658</v>
      </c>
    </row>
    <row r="40" spans="1:23" ht="14" customHeight="1" x14ac:dyDescent="0.15">
      <c r="A40" s="10">
        <v>45024</v>
      </c>
      <c r="B40" s="8">
        <f t="shared" si="6"/>
        <v>46349</v>
      </c>
      <c r="C40" s="48" t="s">
        <v>19</v>
      </c>
      <c r="D40" s="49">
        <f t="shared" si="5"/>
        <v>0</v>
      </c>
      <c r="E40" s="20" t="s">
        <v>214</v>
      </c>
      <c r="F40" s="20" t="s">
        <v>214</v>
      </c>
      <c r="G40" s="20" t="s">
        <v>214</v>
      </c>
      <c r="H40" s="34"/>
      <c r="I40" s="34"/>
      <c r="J40" s="36"/>
      <c r="K40" s="20" t="s">
        <v>214</v>
      </c>
      <c r="L40" s="20" t="s">
        <v>214</v>
      </c>
      <c r="M40" s="20" t="s">
        <v>214</v>
      </c>
      <c r="N40" s="36" t="s">
        <v>217</v>
      </c>
      <c r="O40" s="36"/>
      <c r="P40" s="36"/>
      <c r="Q40" s="36"/>
      <c r="R40" s="36"/>
      <c r="S40" s="36"/>
      <c r="T40" s="36"/>
      <c r="U40" s="36">
        <v>39</v>
      </c>
      <c r="V40" s="52" t="s">
        <v>448</v>
      </c>
      <c r="W40" s="52" t="s">
        <v>659</v>
      </c>
    </row>
    <row r="41" spans="1:23" ht="14" customHeight="1" x14ac:dyDescent="0.15">
      <c r="A41" s="10">
        <v>45025</v>
      </c>
      <c r="B41" s="8">
        <f t="shared" si="6"/>
        <v>46356</v>
      </c>
      <c r="C41" s="48" t="s">
        <v>29</v>
      </c>
      <c r="D41" s="49">
        <f t="shared" si="5"/>
        <v>0</v>
      </c>
      <c r="E41" s="36"/>
      <c r="F41" s="36"/>
      <c r="G41" s="36"/>
      <c r="H41" s="36"/>
      <c r="I41" s="36" t="s">
        <v>217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>
        <v>40</v>
      </c>
      <c r="V41" s="52" t="s">
        <v>660</v>
      </c>
      <c r="W41" s="52" t="s">
        <v>661</v>
      </c>
    </row>
    <row r="42" spans="1:23" ht="14" customHeight="1" x14ac:dyDescent="0.15">
      <c r="A42" s="10">
        <v>45026</v>
      </c>
      <c r="B42" s="8">
        <f t="shared" si="6"/>
        <v>46363</v>
      </c>
      <c r="C42" s="36" t="s">
        <v>19</v>
      </c>
      <c r="D42" s="49">
        <f t="shared" si="5"/>
        <v>0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>
        <v>41</v>
      </c>
      <c r="V42" s="52" t="s">
        <v>662</v>
      </c>
      <c r="W42" s="52" t="s">
        <v>663</v>
      </c>
    </row>
    <row r="43" spans="1:23" ht="14" customHeight="1" x14ac:dyDescent="0.15">
      <c r="A43" s="30"/>
      <c r="B43" s="30"/>
      <c r="C43" s="30"/>
      <c r="D43" s="30">
        <f>SUM(D2:D42)</f>
        <v>130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6"/>
      <c r="Q43" s="36"/>
      <c r="R43" s="36"/>
      <c r="S43" s="36"/>
      <c r="T43" s="36"/>
      <c r="U43" s="36">
        <v>42</v>
      </c>
      <c r="V43" s="52" t="s">
        <v>450</v>
      </c>
      <c r="W43" s="52" t="s">
        <v>664</v>
      </c>
    </row>
    <row r="44" spans="1:23" x14ac:dyDescent="0.1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84"/>
      <c r="L44" s="84"/>
      <c r="M44" s="84"/>
      <c r="N44" s="36"/>
      <c r="O44" s="36"/>
      <c r="P44" s="36"/>
      <c r="Q44" s="36"/>
      <c r="R44" s="36"/>
      <c r="S44" s="36"/>
      <c r="T44" s="36"/>
      <c r="U44" s="36">
        <v>43</v>
      </c>
      <c r="V44" s="52" t="s">
        <v>665</v>
      </c>
      <c r="W44" s="52" t="s">
        <v>666</v>
      </c>
    </row>
    <row r="45" spans="1:23" x14ac:dyDescent="0.15">
      <c r="A45" s="48" t="s">
        <v>227</v>
      </c>
      <c r="B45" s="48" t="s">
        <v>228</v>
      </c>
      <c r="C45" s="36" t="s">
        <v>229</v>
      </c>
      <c r="D45" s="36" t="s">
        <v>230</v>
      </c>
      <c r="E45" s="67">
        <v>45379</v>
      </c>
      <c r="F45" s="36"/>
      <c r="G45" s="36"/>
      <c r="H45" s="36"/>
      <c r="I45" s="36"/>
      <c r="J45" s="36"/>
      <c r="K45" s="95"/>
      <c r="L45" s="95"/>
      <c r="M45" s="95"/>
      <c r="N45" s="36"/>
      <c r="O45" s="36"/>
      <c r="P45" s="36"/>
      <c r="Q45" s="36"/>
      <c r="R45" s="36"/>
      <c r="S45" s="36"/>
      <c r="T45" s="36"/>
      <c r="U45" s="36">
        <v>44</v>
      </c>
      <c r="V45" s="52" t="s">
        <v>667</v>
      </c>
      <c r="W45" s="52" t="s">
        <v>668</v>
      </c>
    </row>
    <row r="46" spans="1:23" x14ac:dyDescent="0.2">
      <c r="A46" s="48" t="s">
        <v>227</v>
      </c>
      <c r="B46" s="48" t="s">
        <v>233</v>
      </c>
      <c r="C46" s="36" t="s">
        <v>234</v>
      </c>
      <c r="D46" s="36" t="s">
        <v>230</v>
      </c>
      <c r="E46" s="67">
        <v>45421</v>
      </c>
      <c r="F46" s="36"/>
      <c r="G46" s="36"/>
      <c r="H46" s="36"/>
      <c r="I46" s="36"/>
      <c r="J46" s="36"/>
      <c r="K46" s="98" t="s">
        <v>669</v>
      </c>
      <c r="L46" s="36"/>
      <c r="M46" s="36"/>
      <c r="N46" s="36"/>
      <c r="O46" s="36"/>
      <c r="P46" s="36"/>
      <c r="Q46" s="36"/>
      <c r="R46" s="36"/>
      <c r="S46" s="36"/>
      <c r="T46" s="36"/>
      <c r="U46" s="36">
        <v>45</v>
      </c>
      <c r="V46" s="52" t="s">
        <v>670</v>
      </c>
      <c r="W46" s="52" t="s">
        <v>671</v>
      </c>
    </row>
    <row r="47" spans="1:23" x14ac:dyDescent="0.2">
      <c r="A47" s="48" t="s">
        <v>227</v>
      </c>
      <c r="B47" s="48" t="s">
        <v>237</v>
      </c>
      <c r="C47" s="36" t="s">
        <v>238</v>
      </c>
      <c r="D47" s="36" t="s">
        <v>230</v>
      </c>
      <c r="E47" s="67">
        <v>45443</v>
      </c>
      <c r="F47" s="36"/>
      <c r="G47" s="36"/>
      <c r="H47" s="36"/>
      <c r="I47" s="36"/>
      <c r="J47" s="36"/>
      <c r="K47" s="98" t="s">
        <v>672</v>
      </c>
      <c r="L47" s="98" t="s">
        <v>673</v>
      </c>
      <c r="M47" s="98" t="s">
        <v>674</v>
      </c>
      <c r="N47" s="98" t="s">
        <v>14</v>
      </c>
      <c r="O47" s="36"/>
      <c r="P47" s="36"/>
      <c r="Q47" s="36"/>
      <c r="R47" s="36"/>
      <c r="S47" s="36"/>
      <c r="T47" s="36"/>
      <c r="U47" s="36">
        <v>46</v>
      </c>
      <c r="V47" s="52" t="s">
        <v>675</v>
      </c>
      <c r="W47" s="52" t="s">
        <v>676</v>
      </c>
    </row>
    <row r="48" spans="1:23" ht="16.5" customHeight="1" x14ac:dyDescent="0.2">
      <c r="A48" s="48" t="s">
        <v>227</v>
      </c>
      <c r="B48" s="48" t="s">
        <v>241</v>
      </c>
      <c r="C48" s="36" t="s">
        <v>229</v>
      </c>
      <c r="D48" s="36" t="s">
        <v>230</v>
      </c>
      <c r="E48" s="67">
        <v>45534</v>
      </c>
      <c r="F48" s="36"/>
      <c r="G48" s="36"/>
      <c r="H48" s="36"/>
      <c r="I48" s="36"/>
      <c r="J48" s="36"/>
      <c r="K48" s="99" t="s">
        <v>677</v>
      </c>
      <c r="L48" s="99" t="s">
        <v>678</v>
      </c>
      <c r="M48" s="99">
        <v>6</v>
      </c>
      <c r="N48" s="99">
        <v>4</v>
      </c>
      <c r="O48" s="36"/>
      <c r="P48" s="36"/>
      <c r="Q48" s="36"/>
      <c r="R48" s="36"/>
      <c r="S48" s="36"/>
      <c r="T48" s="36"/>
      <c r="U48" s="36">
        <v>47</v>
      </c>
      <c r="V48" s="52" t="s">
        <v>459</v>
      </c>
      <c r="W48" s="52" t="s">
        <v>679</v>
      </c>
    </row>
    <row r="49" spans="1:23" ht="16.5" customHeight="1" x14ac:dyDescent="0.2">
      <c r="A49" s="48" t="s">
        <v>227</v>
      </c>
      <c r="B49" s="48" t="s">
        <v>246</v>
      </c>
      <c r="C49" s="36" t="s">
        <v>247</v>
      </c>
      <c r="D49" s="36" t="s">
        <v>248</v>
      </c>
      <c r="E49" s="67">
        <v>45545</v>
      </c>
      <c r="F49" s="67">
        <v>45555</v>
      </c>
      <c r="G49" s="36"/>
      <c r="H49" s="36"/>
      <c r="I49" s="36"/>
      <c r="J49" s="36"/>
      <c r="K49" s="99" t="s">
        <v>680</v>
      </c>
      <c r="L49" s="99" t="s">
        <v>681</v>
      </c>
      <c r="M49" s="99">
        <v>4</v>
      </c>
      <c r="N49" s="99">
        <v>2</v>
      </c>
      <c r="O49" s="36"/>
      <c r="P49" s="36"/>
      <c r="Q49" s="36"/>
      <c r="R49" s="36"/>
      <c r="S49" s="36"/>
      <c r="T49" s="36"/>
      <c r="U49" s="36">
        <v>48</v>
      </c>
      <c r="V49" s="52" t="s">
        <v>682</v>
      </c>
      <c r="W49" s="52" t="s">
        <v>683</v>
      </c>
    </row>
    <row r="50" spans="1:23" ht="16.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99" t="s">
        <v>684</v>
      </c>
      <c r="L50" s="99" t="s">
        <v>685</v>
      </c>
      <c r="M50" s="99">
        <v>12</v>
      </c>
      <c r="N50" s="99">
        <v>8</v>
      </c>
      <c r="O50" s="36"/>
      <c r="P50" s="36"/>
      <c r="Q50" s="36"/>
      <c r="R50" s="36"/>
      <c r="S50" s="36"/>
      <c r="T50" s="36"/>
      <c r="U50" s="36">
        <v>49</v>
      </c>
      <c r="V50" s="52" t="s">
        <v>686</v>
      </c>
      <c r="W50" s="52" t="s">
        <v>687</v>
      </c>
    </row>
    <row r="51" spans="1:23" ht="16.5" customHeight="1" x14ac:dyDescent="0.2">
      <c r="A51" s="36"/>
      <c r="B51" s="36"/>
      <c r="C51" s="36"/>
      <c r="D51" s="36"/>
      <c r="E51" s="36" t="s">
        <v>688</v>
      </c>
      <c r="F51" s="36" t="s">
        <v>673</v>
      </c>
      <c r="G51" s="36" t="s">
        <v>674</v>
      </c>
      <c r="H51" s="36" t="s">
        <v>689</v>
      </c>
      <c r="I51" s="36" t="s">
        <v>14</v>
      </c>
      <c r="J51" s="36"/>
      <c r="K51" s="36"/>
      <c r="L51" s="98" t="s">
        <v>690</v>
      </c>
      <c r="M51" s="98">
        <v>22</v>
      </c>
      <c r="N51" s="98">
        <v>14</v>
      </c>
      <c r="O51" s="36"/>
      <c r="P51" s="36"/>
      <c r="Q51" s="36"/>
      <c r="R51" s="36"/>
      <c r="S51" s="36"/>
      <c r="T51" s="36"/>
      <c r="U51" s="36">
        <v>50</v>
      </c>
      <c r="V51" s="52" t="s">
        <v>466</v>
      </c>
      <c r="W51" s="52" t="s">
        <v>691</v>
      </c>
    </row>
    <row r="52" spans="1:23" ht="16.5" customHeight="1" x14ac:dyDescent="0.2">
      <c r="A52" s="36"/>
      <c r="B52" s="36"/>
      <c r="C52" s="36"/>
      <c r="D52" s="36"/>
      <c r="E52" s="36" t="s">
        <v>692</v>
      </c>
      <c r="F52" s="36" t="s">
        <v>693</v>
      </c>
      <c r="G52" s="36">
        <v>22</v>
      </c>
      <c r="H52" s="100">
        <f t="shared" ref="H52:H57" si="7">G52/$G$58*$H$58</f>
        <v>13.075471698113208</v>
      </c>
      <c r="I52" s="36">
        <v>13</v>
      </c>
      <c r="J52" s="36"/>
      <c r="K52" s="98" t="s">
        <v>694</v>
      </c>
      <c r="L52" s="36"/>
      <c r="M52" s="36"/>
      <c r="N52" s="36"/>
      <c r="O52" s="36"/>
      <c r="P52" s="36"/>
      <c r="Q52" s="36"/>
      <c r="R52" s="36"/>
      <c r="S52" s="36"/>
      <c r="T52" s="36"/>
      <c r="U52" s="36">
        <v>51</v>
      </c>
      <c r="V52" s="52" t="s">
        <v>695</v>
      </c>
      <c r="W52" s="52" t="s">
        <v>696</v>
      </c>
    </row>
    <row r="53" spans="1:23" ht="16.5" customHeight="1" x14ac:dyDescent="0.2">
      <c r="A53" s="68"/>
      <c r="B53" s="68"/>
      <c r="C53" s="36"/>
      <c r="D53" s="36"/>
      <c r="E53" s="36" t="s">
        <v>697</v>
      </c>
      <c r="F53" s="36" t="s">
        <v>698</v>
      </c>
      <c r="G53" s="36">
        <v>14</v>
      </c>
      <c r="H53" s="100">
        <f t="shared" si="7"/>
        <v>8.3207547169811313</v>
      </c>
      <c r="I53" s="36">
        <v>9</v>
      </c>
      <c r="J53" s="36"/>
      <c r="K53" s="98" t="s">
        <v>672</v>
      </c>
      <c r="L53" s="98" t="s">
        <v>673</v>
      </c>
      <c r="M53" s="98" t="s">
        <v>674</v>
      </c>
      <c r="N53" s="98" t="s">
        <v>14</v>
      </c>
      <c r="O53" s="36"/>
      <c r="P53" s="36"/>
      <c r="Q53" s="36"/>
      <c r="R53" s="36"/>
      <c r="S53" s="36"/>
      <c r="T53" s="36"/>
      <c r="U53" s="36">
        <v>52</v>
      </c>
      <c r="V53" s="52" t="s">
        <v>699</v>
      </c>
      <c r="W53" s="52" t="s">
        <v>700</v>
      </c>
    </row>
    <row r="54" spans="1:23" ht="16.5" customHeight="1" x14ac:dyDescent="0.2">
      <c r="A54" s="68"/>
      <c r="B54" s="68"/>
      <c r="C54" s="36"/>
      <c r="D54" s="36"/>
      <c r="E54" s="36" t="s">
        <v>701</v>
      </c>
      <c r="F54" s="36" t="s">
        <v>702</v>
      </c>
      <c r="G54" s="36">
        <v>17</v>
      </c>
      <c r="H54" s="100">
        <f t="shared" si="7"/>
        <v>10.10377358490566</v>
      </c>
      <c r="I54" s="36">
        <v>10</v>
      </c>
      <c r="J54" s="36"/>
      <c r="K54" s="99" t="s">
        <v>703</v>
      </c>
      <c r="L54" s="99" t="s">
        <v>704</v>
      </c>
      <c r="M54" s="99">
        <v>10</v>
      </c>
      <c r="N54" s="99">
        <v>6</v>
      </c>
      <c r="O54" s="36"/>
      <c r="P54" s="36"/>
      <c r="Q54" s="36"/>
      <c r="R54" s="36"/>
      <c r="S54" s="36"/>
      <c r="T54" s="36"/>
      <c r="U54" s="36">
        <v>53</v>
      </c>
      <c r="V54" s="52" t="s">
        <v>468</v>
      </c>
      <c r="W54" s="52" t="s">
        <v>705</v>
      </c>
    </row>
    <row r="55" spans="1:23" x14ac:dyDescent="0.2">
      <c r="A55" s="69"/>
      <c r="B55" s="70"/>
      <c r="C55" s="69"/>
      <c r="D55" s="36"/>
      <c r="E55" s="36" t="s">
        <v>706</v>
      </c>
      <c r="F55" s="36" t="s">
        <v>707</v>
      </c>
      <c r="G55" s="36">
        <v>8</v>
      </c>
      <c r="H55" s="100">
        <f t="shared" si="7"/>
        <v>4.7547169811320753</v>
      </c>
      <c r="I55" s="36">
        <v>5</v>
      </c>
      <c r="J55" s="36"/>
      <c r="K55" s="99" t="s">
        <v>708</v>
      </c>
      <c r="L55" s="99" t="s">
        <v>709</v>
      </c>
      <c r="M55" s="99">
        <v>4</v>
      </c>
      <c r="N55" s="99">
        <v>3</v>
      </c>
      <c r="O55" s="36"/>
      <c r="P55" s="36"/>
      <c r="Q55" s="36"/>
      <c r="R55" s="36"/>
      <c r="S55" s="36"/>
      <c r="T55" s="36"/>
      <c r="U55" s="36">
        <v>54</v>
      </c>
      <c r="V55" s="52" t="s">
        <v>710</v>
      </c>
      <c r="W55" s="52" t="s">
        <v>711</v>
      </c>
    </row>
    <row r="56" spans="1:23" x14ac:dyDescent="0.2">
      <c r="A56" s="69"/>
      <c r="B56" s="70"/>
      <c r="C56" s="69"/>
      <c r="D56" s="36"/>
      <c r="E56" s="36" t="s">
        <v>712</v>
      </c>
      <c r="F56" s="36" t="s">
        <v>713</v>
      </c>
      <c r="G56" s="36">
        <v>26</v>
      </c>
      <c r="H56" s="100">
        <f t="shared" si="7"/>
        <v>15.452830188679245</v>
      </c>
      <c r="I56" s="36">
        <v>16</v>
      </c>
      <c r="J56" s="36"/>
      <c r="K56" s="36"/>
      <c r="L56" s="98" t="s">
        <v>714</v>
      </c>
      <c r="M56" s="98">
        <v>14</v>
      </c>
      <c r="N56" s="98">
        <v>9</v>
      </c>
      <c r="O56" s="36"/>
      <c r="P56" s="36"/>
      <c r="Q56" s="36"/>
      <c r="R56" s="36"/>
      <c r="S56" s="36"/>
      <c r="T56" s="36"/>
      <c r="U56" s="36">
        <v>55</v>
      </c>
      <c r="V56" s="52" t="s">
        <v>715</v>
      </c>
      <c r="W56" s="52" t="s">
        <v>716</v>
      </c>
    </row>
    <row r="57" spans="1:23" x14ac:dyDescent="0.2">
      <c r="A57" s="69"/>
      <c r="B57" s="70"/>
      <c r="C57" s="69"/>
      <c r="D57" s="36"/>
      <c r="E57" s="36" t="s">
        <v>717</v>
      </c>
      <c r="F57" s="36" t="s">
        <v>718</v>
      </c>
      <c r="G57" s="36">
        <v>19</v>
      </c>
      <c r="H57" s="100">
        <f t="shared" si="7"/>
        <v>11.292452830188678</v>
      </c>
      <c r="I57" s="36">
        <v>11</v>
      </c>
      <c r="J57" s="36"/>
      <c r="K57" s="98" t="s">
        <v>719</v>
      </c>
      <c r="L57" s="36"/>
      <c r="M57" s="36"/>
      <c r="N57" s="36"/>
      <c r="O57" s="36"/>
      <c r="P57" s="36"/>
      <c r="Q57" s="36"/>
      <c r="R57" s="36"/>
      <c r="S57" s="36"/>
      <c r="T57" s="36"/>
      <c r="U57" s="36">
        <v>56</v>
      </c>
      <c r="V57" s="52" t="s">
        <v>720</v>
      </c>
      <c r="W57" s="52" t="s">
        <v>721</v>
      </c>
    </row>
    <row r="58" spans="1:23" x14ac:dyDescent="0.2">
      <c r="A58" s="69"/>
      <c r="B58" s="70"/>
      <c r="C58" s="69"/>
      <c r="D58" s="36"/>
      <c r="E58" s="36" t="s">
        <v>253</v>
      </c>
      <c r="F58" s="36"/>
      <c r="G58" s="36">
        <v>106</v>
      </c>
      <c r="H58" s="36">
        <v>63</v>
      </c>
      <c r="I58" s="36">
        <f>SUM(I52:I57)</f>
        <v>64</v>
      </c>
      <c r="J58" s="36"/>
      <c r="K58" s="98" t="s">
        <v>672</v>
      </c>
      <c r="L58" s="98" t="s">
        <v>673</v>
      </c>
      <c r="M58" s="98" t="s">
        <v>674</v>
      </c>
      <c r="N58" s="98" t="s">
        <v>14</v>
      </c>
      <c r="O58" s="36"/>
      <c r="P58" s="36"/>
      <c r="Q58" s="36"/>
      <c r="R58" s="36"/>
      <c r="S58" s="36"/>
      <c r="T58" s="36"/>
      <c r="U58" s="36">
        <v>57</v>
      </c>
      <c r="V58" s="52" t="s">
        <v>722</v>
      </c>
      <c r="W58" s="52" t="s">
        <v>723</v>
      </c>
    </row>
    <row r="59" spans="1:23" x14ac:dyDescent="0.2">
      <c r="A59" s="69"/>
      <c r="B59" s="70"/>
      <c r="C59" s="69"/>
      <c r="D59" s="36"/>
      <c r="E59" s="36"/>
      <c r="F59" s="36"/>
      <c r="G59" s="36"/>
      <c r="H59" s="36"/>
      <c r="I59" s="36"/>
      <c r="J59" s="36"/>
      <c r="K59" s="99" t="s">
        <v>724</v>
      </c>
      <c r="L59" s="99" t="s">
        <v>725</v>
      </c>
      <c r="M59" s="99">
        <v>6</v>
      </c>
      <c r="N59" s="99">
        <v>4</v>
      </c>
      <c r="O59" s="36"/>
      <c r="P59" s="36"/>
      <c r="Q59" s="36"/>
      <c r="R59" s="36"/>
      <c r="S59" s="36"/>
      <c r="T59" s="36"/>
      <c r="U59" s="36">
        <v>58</v>
      </c>
      <c r="V59" s="52" t="s">
        <v>726</v>
      </c>
      <c r="W59" s="52" t="s">
        <v>727</v>
      </c>
    </row>
    <row r="60" spans="1:23" x14ac:dyDescent="0.2">
      <c r="A60" s="69"/>
      <c r="B60" s="70"/>
      <c r="C60" s="69"/>
      <c r="D60" s="36"/>
      <c r="E60" s="36"/>
      <c r="F60" s="36"/>
      <c r="G60" s="36"/>
      <c r="H60" s="36"/>
      <c r="I60" s="36"/>
      <c r="J60" s="36"/>
      <c r="K60" s="99" t="s">
        <v>728</v>
      </c>
      <c r="L60" s="99" t="s">
        <v>729</v>
      </c>
      <c r="M60" s="99">
        <v>2</v>
      </c>
      <c r="N60" s="99">
        <v>1</v>
      </c>
      <c r="O60" s="36"/>
      <c r="P60" s="36"/>
      <c r="Q60" s="36"/>
      <c r="R60" s="36"/>
      <c r="S60" s="36"/>
      <c r="T60" s="36"/>
      <c r="U60" s="36">
        <v>59</v>
      </c>
      <c r="V60" s="52" t="s">
        <v>730</v>
      </c>
      <c r="W60" s="52" t="s">
        <v>731</v>
      </c>
    </row>
    <row r="61" spans="1:23" x14ac:dyDescent="0.2">
      <c r="A61" s="69"/>
      <c r="B61" s="70"/>
      <c r="C61" s="69"/>
      <c r="D61" s="36"/>
      <c r="E61" s="36"/>
      <c r="F61" s="36"/>
      <c r="G61" s="36"/>
      <c r="H61" s="36"/>
      <c r="I61" s="36"/>
      <c r="J61" s="36"/>
      <c r="K61" s="99" t="s">
        <v>732</v>
      </c>
      <c r="L61" s="99" t="s">
        <v>733</v>
      </c>
      <c r="M61" s="99">
        <v>2</v>
      </c>
      <c r="N61" s="99">
        <v>1</v>
      </c>
      <c r="O61" s="36"/>
      <c r="P61" s="36"/>
      <c r="Q61" s="36"/>
      <c r="R61" s="36"/>
      <c r="S61" s="36"/>
      <c r="T61" s="36"/>
      <c r="U61" s="36">
        <v>60</v>
      </c>
      <c r="V61" s="52" t="s">
        <v>734</v>
      </c>
      <c r="W61" s="52" t="s">
        <v>735</v>
      </c>
    </row>
    <row r="62" spans="1:23" x14ac:dyDescent="0.2">
      <c r="A62" s="69"/>
      <c r="B62" s="70"/>
      <c r="C62" s="69"/>
      <c r="D62" s="36"/>
      <c r="E62" s="36"/>
      <c r="F62" s="36"/>
      <c r="G62" s="36"/>
      <c r="H62" s="36"/>
      <c r="I62" s="36"/>
      <c r="J62" s="36"/>
      <c r="K62" s="99" t="s">
        <v>736</v>
      </c>
      <c r="L62" s="99" t="s">
        <v>737</v>
      </c>
      <c r="M62" s="99">
        <v>1</v>
      </c>
      <c r="N62" s="99">
        <v>1</v>
      </c>
      <c r="O62" s="36"/>
      <c r="P62" s="36"/>
      <c r="Q62" s="36"/>
      <c r="R62" s="36"/>
      <c r="S62" s="36"/>
      <c r="T62" s="36"/>
      <c r="U62" s="36">
        <v>61</v>
      </c>
      <c r="V62" s="52" t="s">
        <v>738</v>
      </c>
      <c r="W62" s="52" t="s">
        <v>739</v>
      </c>
    </row>
    <row r="63" spans="1:23" x14ac:dyDescent="0.2">
      <c r="A63" s="69"/>
      <c r="B63" s="70"/>
      <c r="C63" s="69"/>
      <c r="D63" s="36"/>
      <c r="E63" s="36"/>
      <c r="F63" s="36"/>
      <c r="G63" s="36"/>
      <c r="H63" s="36"/>
      <c r="I63" s="36"/>
      <c r="J63" s="36"/>
      <c r="K63" s="99" t="s">
        <v>740</v>
      </c>
      <c r="L63" s="99" t="s">
        <v>741</v>
      </c>
      <c r="M63" s="99">
        <v>6</v>
      </c>
      <c r="N63" s="99">
        <v>4</v>
      </c>
      <c r="O63" s="36"/>
      <c r="P63" s="36"/>
      <c r="Q63" s="36"/>
      <c r="R63" s="36"/>
      <c r="S63" s="36"/>
      <c r="T63" s="36"/>
      <c r="U63" s="36">
        <v>62</v>
      </c>
      <c r="V63" s="82" t="s">
        <v>742</v>
      </c>
      <c r="W63" s="82" t="s">
        <v>743</v>
      </c>
    </row>
    <row r="64" spans="1:23" x14ac:dyDescent="0.2">
      <c r="A64" s="69"/>
      <c r="B64" s="70"/>
      <c r="C64" s="69"/>
      <c r="D64" s="36"/>
      <c r="E64" s="36"/>
      <c r="F64" s="36"/>
      <c r="G64" s="36"/>
      <c r="H64" s="36"/>
      <c r="I64" s="36"/>
      <c r="J64" s="36"/>
      <c r="K64" s="99" t="s">
        <v>744</v>
      </c>
      <c r="L64" s="99" t="s">
        <v>745</v>
      </c>
      <c r="M64" s="99">
        <v>4</v>
      </c>
      <c r="N64" s="99">
        <v>2</v>
      </c>
      <c r="O64" s="36"/>
      <c r="P64" s="36"/>
      <c r="Q64" s="36"/>
      <c r="R64" s="36"/>
      <c r="S64" s="36"/>
      <c r="T64" s="36"/>
      <c r="U64" s="36">
        <v>63</v>
      </c>
      <c r="V64" s="82" t="s">
        <v>746</v>
      </c>
      <c r="W64" s="82" t="s">
        <v>747</v>
      </c>
    </row>
    <row r="65" spans="2:23" x14ac:dyDescent="0.2">
      <c r="B65" s="72"/>
      <c r="C65" s="48"/>
      <c r="D65" s="36"/>
      <c r="E65" s="36"/>
      <c r="F65" s="36"/>
      <c r="G65" s="36"/>
      <c r="H65" s="36"/>
      <c r="I65" s="36"/>
      <c r="J65" s="36"/>
      <c r="K65" s="99" t="s">
        <v>748</v>
      </c>
      <c r="L65" s="99" t="s">
        <v>749</v>
      </c>
      <c r="M65" s="99">
        <v>2</v>
      </c>
      <c r="N65" s="99">
        <v>1</v>
      </c>
      <c r="O65" s="36"/>
      <c r="P65" s="36"/>
      <c r="Q65" s="36"/>
      <c r="R65" s="36"/>
      <c r="S65" s="36"/>
      <c r="T65" s="36"/>
      <c r="U65" s="36">
        <v>64</v>
      </c>
      <c r="V65" s="82" t="s">
        <v>486</v>
      </c>
      <c r="W65" s="82" t="s">
        <v>750</v>
      </c>
    </row>
    <row r="66" spans="2:23" x14ac:dyDescent="0.2">
      <c r="B66" s="72"/>
      <c r="C66" s="48"/>
      <c r="D66" s="36"/>
      <c r="E66" s="36"/>
      <c r="F66" s="36"/>
      <c r="G66" s="36"/>
      <c r="H66" s="36"/>
      <c r="I66" s="36"/>
      <c r="J66" s="36"/>
      <c r="K66" s="99" t="s">
        <v>751</v>
      </c>
      <c r="L66" s="99" t="s">
        <v>752</v>
      </c>
      <c r="M66" s="99">
        <v>2</v>
      </c>
      <c r="N66" s="99">
        <v>1</v>
      </c>
      <c r="O66" s="36"/>
      <c r="P66" s="36"/>
      <c r="Q66" s="36"/>
      <c r="R66" s="36"/>
      <c r="S66" s="36"/>
      <c r="T66" s="36"/>
      <c r="U66" s="36">
        <v>65</v>
      </c>
      <c r="V66" s="82" t="s">
        <v>753</v>
      </c>
      <c r="W66" s="82" t="s">
        <v>754</v>
      </c>
    </row>
    <row r="67" spans="2:23" x14ac:dyDescent="0.2">
      <c r="B67" s="72"/>
      <c r="C67" s="48"/>
      <c r="D67" s="36"/>
      <c r="E67" s="36"/>
      <c r="F67" s="36"/>
      <c r="G67" s="36"/>
      <c r="H67" s="36"/>
      <c r="I67" s="36"/>
      <c r="J67" s="36"/>
      <c r="K67" s="36"/>
      <c r="L67" s="98" t="s">
        <v>755</v>
      </c>
      <c r="M67" s="98">
        <v>25</v>
      </c>
      <c r="N67" s="98">
        <v>15</v>
      </c>
      <c r="O67" s="36"/>
      <c r="P67" s="36"/>
      <c r="Q67" s="36"/>
      <c r="R67" s="36"/>
      <c r="S67" s="36"/>
      <c r="T67" s="36"/>
      <c r="U67" s="36">
        <v>66</v>
      </c>
      <c r="V67" s="82" t="s">
        <v>756</v>
      </c>
      <c r="W67" s="82" t="s">
        <v>757</v>
      </c>
    </row>
    <row r="68" spans="2:23" x14ac:dyDescent="0.2">
      <c r="B68" s="72"/>
      <c r="C68" s="48"/>
      <c r="D68" s="36"/>
      <c r="E68" s="36"/>
      <c r="F68" s="36"/>
      <c r="G68" s="36"/>
      <c r="H68" s="36"/>
      <c r="I68" s="36"/>
      <c r="J68" s="36"/>
      <c r="K68" s="98" t="s">
        <v>758</v>
      </c>
      <c r="L68" s="36"/>
      <c r="M68" s="36"/>
      <c r="N68" s="36"/>
      <c r="O68" s="36"/>
      <c r="P68" s="36"/>
      <c r="Q68" s="36"/>
      <c r="R68" s="36"/>
      <c r="S68" s="36"/>
      <c r="T68" s="36"/>
      <c r="U68" s="36">
        <v>67</v>
      </c>
      <c r="V68" s="82" t="s">
        <v>488</v>
      </c>
      <c r="W68" s="82" t="s">
        <v>759</v>
      </c>
    </row>
    <row r="69" spans="2:23" x14ac:dyDescent="0.2">
      <c r="B69" s="72"/>
      <c r="C69" s="48"/>
      <c r="D69" s="36"/>
      <c r="E69" s="36"/>
      <c r="F69" s="36"/>
      <c r="G69" s="36"/>
      <c r="H69" s="36"/>
      <c r="I69" s="36"/>
      <c r="J69" s="36"/>
      <c r="K69" s="98" t="s">
        <v>672</v>
      </c>
      <c r="L69" s="98" t="s">
        <v>673</v>
      </c>
      <c r="M69" s="98" t="s">
        <v>674</v>
      </c>
      <c r="N69" s="98" t="s">
        <v>14</v>
      </c>
      <c r="O69" s="36"/>
      <c r="P69" s="36"/>
      <c r="Q69" s="36"/>
      <c r="R69" s="36"/>
      <c r="S69" s="36"/>
      <c r="T69" s="36"/>
      <c r="U69" s="36">
        <v>68</v>
      </c>
      <c r="V69" s="82" t="s">
        <v>760</v>
      </c>
      <c r="W69" s="82" t="s">
        <v>761</v>
      </c>
    </row>
    <row r="70" spans="2:23" x14ac:dyDescent="0.2">
      <c r="B70" s="72"/>
      <c r="C70" s="48"/>
      <c r="D70" s="36"/>
      <c r="E70" s="36"/>
      <c r="F70" s="36"/>
      <c r="G70" s="36"/>
      <c r="H70" s="36"/>
      <c r="I70" s="36"/>
      <c r="J70" s="36"/>
      <c r="K70" s="99" t="s">
        <v>762</v>
      </c>
      <c r="L70" s="99" t="s">
        <v>763</v>
      </c>
      <c r="M70" s="99">
        <v>6</v>
      </c>
      <c r="N70" s="99">
        <v>4</v>
      </c>
      <c r="O70" s="36"/>
      <c r="P70" s="36"/>
      <c r="Q70" s="36"/>
      <c r="R70" s="36"/>
      <c r="S70" s="36"/>
      <c r="T70" s="36"/>
      <c r="U70" s="36">
        <v>69</v>
      </c>
      <c r="V70" s="82" t="s">
        <v>764</v>
      </c>
      <c r="W70" s="82" t="s">
        <v>765</v>
      </c>
    </row>
    <row r="71" spans="2:23" x14ac:dyDescent="0.2">
      <c r="B71" s="72"/>
      <c r="C71" s="48"/>
      <c r="D71" s="36"/>
      <c r="E71" s="36"/>
      <c r="F71" s="36"/>
      <c r="G71" s="36"/>
      <c r="H71" s="36"/>
      <c r="I71" s="36"/>
      <c r="J71" s="36"/>
      <c r="K71" s="99" t="s">
        <v>766</v>
      </c>
      <c r="L71" s="99" t="s">
        <v>767</v>
      </c>
      <c r="M71" s="99">
        <v>5</v>
      </c>
      <c r="N71" s="99">
        <v>3</v>
      </c>
      <c r="O71" s="36"/>
      <c r="P71" s="36"/>
      <c r="Q71" s="36"/>
      <c r="R71" s="36"/>
      <c r="S71" s="36"/>
      <c r="T71" s="36"/>
      <c r="U71" s="36">
        <v>70</v>
      </c>
      <c r="V71" s="82" t="s">
        <v>768</v>
      </c>
      <c r="W71" s="82" t="s">
        <v>769</v>
      </c>
    </row>
    <row r="72" spans="2:23" x14ac:dyDescent="0.2">
      <c r="B72" s="72"/>
      <c r="C72" s="48"/>
      <c r="D72" s="36"/>
      <c r="E72" s="36"/>
      <c r="F72" s="36"/>
      <c r="G72" s="36"/>
      <c r="H72" s="36"/>
      <c r="I72" s="36"/>
      <c r="J72" s="36"/>
      <c r="K72" s="99" t="s">
        <v>770</v>
      </c>
      <c r="L72" s="99" t="s">
        <v>771</v>
      </c>
      <c r="M72" s="99">
        <v>6</v>
      </c>
      <c r="N72" s="99">
        <v>4</v>
      </c>
      <c r="O72" s="36"/>
      <c r="P72" s="36"/>
      <c r="Q72" s="36"/>
      <c r="R72" s="36"/>
      <c r="S72" s="36"/>
      <c r="T72" s="36"/>
      <c r="U72" s="36">
        <v>71</v>
      </c>
      <c r="V72" s="82" t="s">
        <v>772</v>
      </c>
      <c r="W72" s="82" t="s">
        <v>773</v>
      </c>
    </row>
    <row r="73" spans="2:23" x14ac:dyDescent="0.2">
      <c r="B73" s="72"/>
      <c r="C73" s="48"/>
      <c r="D73" s="36"/>
      <c r="E73" s="36"/>
      <c r="F73" s="36"/>
      <c r="G73" s="36"/>
      <c r="H73" s="36"/>
      <c r="I73" s="36"/>
      <c r="J73" s="36"/>
      <c r="K73" s="99" t="s">
        <v>774</v>
      </c>
      <c r="L73" s="99" t="s">
        <v>775</v>
      </c>
      <c r="M73" s="99">
        <v>5</v>
      </c>
      <c r="N73" s="99">
        <v>3</v>
      </c>
      <c r="O73" s="36"/>
      <c r="P73" s="36"/>
      <c r="Q73" s="36"/>
      <c r="R73" s="36"/>
      <c r="S73" s="36"/>
      <c r="T73" s="36"/>
      <c r="U73" s="36">
        <v>72</v>
      </c>
      <c r="V73" s="82" t="s">
        <v>498</v>
      </c>
      <c r="W73" s="82" t="s">
        <v>776</v>
      </c>
    </row>
    <row r="74" spans="2:23" x14ac:dyDescent="0.2">
      <c r="B74" s="72"/>
      <c r="C74" s="48"/>
      <c r="D74" s="36"/>
      <c r="E74" s="36"/>
      <c r="F74" s="36"/>
      <c r="G74" s="36"/>
      <c r="H74" s="36"/>
      <c r="I74" s="36"/>
      <c r="J74" s="36"/>
      <c r="K74" s="99" t="s">
        <v>777</v>
      </c>
      <c r="L74" s="99" t="s">
        <v>778</v>
      </c>
      <c r="M74" s="99">
        <v>4</v>
      </c>
      <c r="N74" s="99">
        <v>2</v>
      </c>
      <c r="O74" s="36"/>
      <c r="P74" s="36"/>
      <c r="Q74" s="36"/>
      <c r="R74" s="36"/>
      <c r="S74" s="36"/>
      <c r="T74" s="36"/>
      <c r="U74" s="36">
        <v>73</v>
      </c>
      <c r="V74" s="82" t="s">
        <v>779</v>
      </c>
      <c r="W74" s="82" t="s">
        <v>780</v>
      </c>
    </row>
    <row r="75" spans="2:23" x14ac:dyDescent="0.2">
      <c r="B75" s="72"/>
      <c r="C75" s="48"/>
      <c r="D75" s="36"/>
      <c r="E75" s="36"/>
      <c r="F75" s="36"/>
      <c r="G75" s="36"/>
      <c r="H75" s="36"/>
      <c r="I75" s="36"/>
      <c r="J75" s="36"/>
      <c r="K75" s="99" t="s">
        <v>781</v>
      </c>
      <c r="L75" s="99" t="s">
        <v>782</v>
      </c>
      <c r="M75" s="99">
        <v>8</v>
      </c>
      <c r="N75" s="99">
        <v>5</v>
      </c>
      <c r="O75" s="36"/>
      <c r="P75" s="36"/>
      <c r="Q75" s="36"/>
      <c r="R75" s="36"/>
      <c r="S75" s="36"/>
      <c r="T75" s="36"/>
      <c r="U75" s="36">
        <v>74</v>
      </c>
      <c r="V75" s="82" t="s">
        <v>783</v>
      </c>
      <c r="W75" s="82" t="s">
        <v>784</v>
      </c>
    </row>
    <row r="76" spans="2:23" x14ac:dyDescent="0.2">
      <c r="B76" s="72"/>
      <c r="C76" s="48"/>
      <c r="D76" s="36"/>
      <c r="E76" s="36"/>
      <c r="F76" s="36"/>
      <c r="G76" s="36"/>
      <c r="H76" s="36"/>
      <c r="I76" s="36"/>
      <c r="J76" s="36"/>
      <c r="K76" s="99" t="s">
        <v>785</v>
      </c>
      <c r="L76" s="99" t="s">
        <v>786</v>
      </c>
      <c r="M76" s="99">
        <v>5</v>
      </c>
      <c r="N76" s="99">
        <v>2</v>
      </c>
      <c r="O76" s="36"/>
      <c r="P76" s="36"/>
      <c r="Q76" s="36"/>
      <c r="R76" s="36"/>
      <c r="S76" s="36"/>
      <c r="T76" s="36"/>
      <c r="U76" s="36">
        <v>75</v>
      </c>
      <c r="V76" s="82" t="s">
        <v>504</v>
      </c>
      <c r="W76" s="82" t="s">
        <v>787</v>
      </c>
    </row>
    <row r="77" spans="2:23" x14ac:dyDescent="0.2">
      <c r="B77" s="72"/>
      <c r="C77" s="48"/>
      <c r="D77" s="36"/>
      <c r="E77" s="36"/>
      <c r="F77" s="36"/>
      <c r="G77" s="36"/>
      <c r="H77" s="36"/>
      <c r="I77" s="36"/>
      <c r="J77" s="36"/>
      <c r="K77" s="99" t="s">
        <v>788</v>
      </c>
      <c r="L77" s="99" t="s">
        <v>789</v>
      </c>
      <c r="M77" s="99">
        <v>6</v>
      </c>
      <c r="N77" s="99">
        <v>2</v>
      </c>
      <c r="O77" s="36"/>
      <c r="P77" s="36"/>
      <c r="Q77" s="36"/>
      <c r="R77" s="36"/>
      <c r="S77" s="36"/>
      <c r="T77" s="36"/>
      <c r="U77" s="36">
        <v>76</v>
      </c>
      <c r="V77" s="82" t="s">
        <v>790</v>
      </c>
      <c r="W77" s="82" t="s">
        <v>791</v>
      </c>
    </row>
    <row r="78" spans="2:23" x14ac:dyDescent="0.2">
      <c r="B78" s="72"/>
      <c r="C78" s="48"/>
      <c r="D78" s="36"/>
      <c r="E78" s="36"/>
      <c r="F78" s="36"/>
      <c r="G78" s="36"/>
      <c r="H78" s="36"/>
      <c r="I78" s="36"/>
      <c r="J78" s="36"/>
      <c r="K78" s="36"/>
      <c r="L78" s="98" t="s">
        <v>792</v>
      </c>
      <c r="M78" s="98">
        <v>45</v>
      </c>
      <c r="N78" s="98">
        <v>25</v>
      </c>
      <c r="O78" s="36"/>
      <c r="P78" s="36"/>
      <c r="Q78" s="36"/>
      <c r="R78" s="36"/>
      <c r="S78" s="36"/>
      <c r="T78" s="36"/>
      <c r="U78" s="36">
        <v>77</v>
      </c>
      <c r="V78" s="82" t="s">
        <v>793</v>
      </c>
      <c r="W78" s="82" t="s">
        <v>794</v>
      </c>
    </row>
    <row r="79" spans="2:23" ht="14" customHeight="1" x14ac:dyDescent="0.15">
      <c r="B79" s="72"/>
      <c r="C79" s="4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>
        <v>78</v>
      </c>
      <c r="V79" s="82" t="s">
        <v>506</v>
      </c>
      <c r="W79" s="82" t="s">
        <v>795</v>
      </c>
    </row>
    <row r="80" spans="2:23" ht="14" customHeight="1" x14ac:dyDescent="0.15">
      <c r="B80" s="72"/>
      <c r="C80" s="4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>
        <v>79</v>
      </c>
      <c r="V80" s="82" t="s">
        <v>796</v>
      </c>
      <c r="W80" s="82" t="s">
        <v>797</v>
      </c>
    </row>
    <row r="81" spans="2:23" ht="14" customHeight="1" x14ac:dyDescent="0.15">
      <c r="B81" s="72"/>
      <c r="C81" s="4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>
        <v>80</v>
      </c>
      <c r="V81" s="82" t="s">
        <v>798</v>
      </c>
      <c r="W81" s="82" t="s">
        <v>799</v>
      </c>
    </row>
    <row r="82" spans="2:23" ht="14" customHeight="1" x14ac:dyDescent="0.15">
      <c r="B82" s="72"/>
      <c r="C82" s="48"/>
      <c r="D82" s="36"/>
      <c r="E82" s="36"/>
      <c r="F82" s="36"/>
      <c r="G82" s="36"/>
      <c r="H82" s="36"/>
      <c r="I82" s="36"/>
      <c r="J82" s="36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36">
        <v>81</v>
      </c>
      <c r="V82" s="82" t="s">
        <v>800</v>
      </c>
      <c r="W82" s="82" t="s">
        <v>801</v>
      </c>
    </row>
    <row r="83" spans="2:23" ht="14" customHeight="1" x14ac:dyDescent="0.15">
      <c r="B83" s="72"/>
      <c r="C83" s="48"/>
      <c r="D83" s="36"/>
      <c r="E83" s="36"/>
      <c r="F83" s="36"/>
      <c r="G83" s="36"/>
      <c r="H83" s="36"/>
      <c r="I83" s="36"/>
      <c r="J83" s="36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36">
        <v>82</v>
      </c>
      <c r="V83" s="82" t="s">
        <v>802</v>
      </c>
      <c r="W83" s="82" t="s">
        <v>803</v>
      </c>
    </row>
    <row r="84" spans="2:23" ht="14" customHeight="1" x14ac:dyDescent="0.15">
      <c r="B84" s="72"/>
      <c r="C84" s="48"/>
      <c r="D84" s="36"/>
      <c r="E84" s="36"/>
      <c r="F84" s="36"/>
      <c r="G84" s="36"/>
      <c r="H84" s="36"/>
      <c r="I84" s="36"/>
      <c r="J84" s="36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36">
        <v>83</v>
      </c>
      <c r="V84" s="82" t="s">
        <v>513</v>
      </c>
      <c r="W84" s="82" t="s">
        <v>804</v>
      </c>
    </row>
    <row r="85" spans="2:23" ht="14" customHeight="1" x14ac:dyDescent="0.15">
      <c r="B85" s="72"/>
      <c r="C85" s="48"/>
      <c r="D85" s="36"/>
      <c r="E85" s="36"/>
      <c r="F85" s="36"/>
      <c r="G85" s="36"/>
      <c r="H85" s="36"/>
      <c r="I85" s="36"/>
      <c r="J85" s="36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36">
        <v>84</v>
      </c>
      <c r="V85" s="82" t="s">
        <v>805</v>
      </c>
      <c r="W85" s="82" t="s">
        <v>806</v>
      </c>
    </row>
    <row r="86" spans="2:23" ht="14" customHeight="1" x14ac:dyDescent="0.15">
      <c r="B86" s="72"/>
      <c r="C86" s="4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>
        <v>85</v>
      </c>
      <c r="V86" s="82" t="s">
        <v>807</v>
      </c>
      <c r="W86" s="82" t="s">
        <v>808</v>
      </c>
    </row>
    <row r="87" spans="2:23" ht="14" customHeight="1" x14ac:dyDescent="0.15">
      <c r="B87" s="72"/>
      <c r="C87" s="4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>
        <v>86</v>
      </c>
      <c r="V87" s="82" t="s">
        <v>809</v>
      </c>
      <c r="W87" s="82" t="s">
        <v>810</v>
      </c>
    </row>
    <row r="88" spans="2:23" ht="14" customHeight="1" x14ac:dyDescent="0.15">
      <c r="B88" s="72"/>
      <c r="C88" s="4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>
        <v>87</v>
      </c>
      <c r="V88" s="82" t="s">
        <v>811</v>
      </c>
      <c r="W88" s="82" t="s">
        <v>812</v>
      </c>
    </row>
    <row r="89" spans="2:23" ht="14" customHeight="1" x14ac:dyDescent="0.15">
      <c r="B89" s="72"/>
      <c r="C89" s="4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>
        <v>88</v>
      </c>
      <c r="V89" s="82" t="s">
        <v>813</v>
      </c>
      <c r="W89" s="82" t="s">
        <v>814</v>
      </c>
    </row>
    <row r="90" spans="2:23" ht="14" customHeight="1" x14ac:dyDescent="0.15">
      <c r="B90" s="72"/>
      <c r="C90" s="4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>
        <v>89</v>
      </c>
      <c r="V90" s="82" t="s">
        <v>815</v>
      </c>
      <c r="W90" s="82" t="s">
        <v>816</v>
      </c>
    </row>
    <row r="91" spans="2:23" ht="14" customHeight="1" x14ac:dyDescent="0.15">
      <c r="B91" s="72"/>
      <c r="C91" s="4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>
        <v>90</v>
      </c>
      <c r="V91" s="82" t="s">
        <v>817</v>
      </c>
      <c r="W91" s="82" t="s">
        <v>818</v>
      </c>
    </row>
    <row r="92" spans="2:23" ht="14" customHeight="1" x14ac:dyDescent="0.15">
      <c r="B92" s="72"/>
      <c r="C92" s="4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>
        <v>91</v>
      </c>
      <c r="V92" s="82" t="s">
        <v>819</v>
      </c>
      <c r="W92" s="82" t="s">
        <v>820</v>
      </c>
    </row>
    <row r="93" spans="2:23" ht="14" customHeight="1" x14ac:dyDescent="0.15">
      <c r="B93" s="72"/>
      <c r="C93" s="4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>
        <v>92</v>
      </c>
      <c r="V93" s="82" t="s">
        <v>523</v>
      </c>
      <c r="W93" s="82" t="s">
        <v>821</v>
      </c>
    </row>
    <row r="94" spans="2:23" ht="14" customHeight="1" x14ac:dyDescent="0.15">
      <c r="B94" s="72"/>
      <c r="C94" s="4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>
        <v>93</v>
      </c>
      <c r="V94" s="82" t="s">
        <v>822</v>
      </c>
      <c r="W94" s="82" t="s">
        <v>823</v>
      </c>
    </row>
    <row r="95" spans="2:23" ht="14" customHeight="1" x14ac:dyDescent="0.15">
      <c r="B95" s="72"/>
      <c r="C95" s="4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>
        <v>94</v>
      </c>
      <c r="V95" s="82" t="s">
        <v>824</v>
      </c>
      <c r="W95" s="82" t="s">
        <v>825</v>
      </c>
    </row>
    <row r="96" spans="2:23" ht="14" customHeight="1" x14ac:dyDescent="0.15">
      <c r="B96" s="72"/>
      <c r="C96" s="4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>
        <v>95</v>
      </c>
      <c r="V96" s="82" t="s">
        <v>525</v>
      </c>
      <c r="W96" s="82" t="s">
        <v>826</v>
      </c>
    </row>
    <row r="97" spans="2:23" ht="14" customHeight="1" x14ac:dyDescent="0.15">
      <c r="B97" s="72"/>
      <c r="C97" s="4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>
        <v>96</v>
      </c>
      <c r="V97" s="82" t="s">
        <v>827</v>
      </c>
      <c r="W97" s="82" t="s">
        <v>828</v>
      </c>
    </row>
    <row r="98" spans="2:23" ht="14" customHeight="1" x14ac:dyDescent="0.15">
      <c r="B98" s="72"/>
      <c r="C98" s="4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>
        <v>97</v>
      </c>
      <c r="V98" s="82" t="s">
        <v>829</v>
      </c>
      <c r="W98" s="82" t="s">
        <v>830</v>
      </c>
    </row>
    <row r="99" spans="2:23" ht="14" customHeight="1" x14ac:dyDescent="0.15">
      <c r="B99" s="72"/>
      <c r="C99" s="4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>
        <v>98</v>
      </c>
      <c r="V99" s="82" t="s">
        <v>831</v>
      </c>
      <c r="W99" s="82" t="s">
        <v>832</v>
      </c>
    </row>
    <row r="100" spans="2:23" ht="14" customHeight="1" x14ac:dyDescent="0.15">
      <c r="B100" s="72"/>
      <c r="C100" s="4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>
        <v>99</v>
      </c>
      <c r="V100" s="82" t="s">
        <v>833</v>
      </c>
      <c r="W100" s="82" t="s">
        <v>834</v>
      </c>
    </row>
    <row r="101" spans="2:23" ht="14" customHeight="1" x14ac:dyDescent="0.15">
      <c r="B101" s="72"/>
      <c r="C101" s="4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>
        <v>100</v>
      </c>
      <c r="V101" s="82" t="s">
        <v>835</v>
      </c>
      <c r="W101" s="82" t="s">
        <v>836</v>
      </c>
    </row>
    <row r="102" spans="2:23" ht="14" customHeight="1" x14ac:dyDescent="0.15">
      <c r="B102" s="72"/>
      <c r="C102" s="4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>
        <v>101</v>
      </c>
      <c r="V102" s="82" t="s">
        <v>837</v>
      </c>
      <c r="W102" s="82" t="s">
        <v>838</v>
      </c>
    </row>
    <row r="103" spans="2:23" ht="14" customHeight="1" x14ac:dyDescent="0.15">
      <c r="B103" s="72"/>
      <c r="C103" s="4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>
        <v>102</v>
      </c>
      <c r="V103" s="82" t="s">
        <v>839</v>
      </c>
      <c r="W103" s="82" t="s">
        <v>840</v>
      </c>
    </row>
    <row r="104" spans="2:23" ht="14" customHeight="1" x14ac:dyDescent="0.15">
      <c r="B104" s="72"/>
      <c r="C104" s="4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>
        <v>103</v>
      </c>
      <c r="V104" s="82" t="s">
        <v>841</v>
      </c>
      <c r="W104" s="82" t="s">
        <v>842</v>
      </c>
    </row>
    <row r="105" spans="2:23" ht="14" customHeight="1" x14ac:dyDescent="0.15">
      <c r="B105" s="72"/>
      <c r="C105" s="4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>
        <v>104</v>
      </c>
      <c r="V105" s="82" t="s">
        <v>843</v>
      </c>
      <c r="W105" s="82" t="s">
        <v>844</v>
      </c>
    </row>
    <row r="106" spans="2:23" ht="14" customHeight="1" x14ac:dyDescent="0.15">
      <c r="B106" s="72"/>
      <c r="C106" s="4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>
        <v>105</v>
      </c>
      <c r="V106" s="82" t="s">
        <v>845</v>
      </c>
      <c r="W106" s="82" t="s">
        <v>846</v>
      </c>
    </row>
    <row r="107" spans="2:23" ht="14" customHeight="1" x14ac:dyDescent="0.15">
      <c r="B107" s="72"/>
      <c r="C107" s="4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>
        <v>106</v>
      </c>
      <c r="V107" s="82" t="s">
        <v>847</v>
      </c>
      <c r="W107" s="82" t="s">
        <v>848</v>
      </c>
    </row>
    <row r="108" spans="2:23" ht="14" customHeight="1" x14ac:dyDescent="0.15">
      <c r="B108" s="72"/>
      <c r="C108" s="4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>
        <v>107</v>
      </c>
      <c r="V108" s="73" t="s">
        <v>849</v>
      </c>
      <c r="W108" s="73" t="s">
        <v>850</v>
      </c>
    </row>
    <row r="109" spans="2:23" ht="14" customHeight="1" x14ac:dyDescent="0.15">
      <c r="B109" s="72"/>
      <c r="C109" s="4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>
        <v>108</v>
      </c>
      <c r="V109" s="73" t="s">
        <v>851</v>
      </c>
      <c r="W109" s="73" t="s">
        <v>852</v>
      </c>
    </row>
    <row r="110" spans="2:23" ht="14" customHeight="1" x14ac:dyDescent="0.15">
      <c r="B110" s="72"/>
      <c r="C110" s="4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>
        <v>109</v>
      </c>
      <c r="V110" s="73" t="s">
        <v>557</v>
      </c>
      <c r="W110" s="73" t="s">
        <v>853</v>
      </c>
    </row>
    <row r="111" spans="2:23" ht="14" customHeight="1" x14ac:dyDescent="0.15">
      <c r="B111" s="72"/>
      <c r="C111" s="4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>
        <v>110</v>
      </c>
      <c r="V111" s="73" t="s">
        <v>558</v>
      </c>
      <c r="W111" s="73" t="s">
        <v>854</v>
      </c>
    </row>
    <row r="112" spans="2:23" ht="14" customHeight="1" x14ac:dyDescent="0.15">
      <c r="B112" s="72"/>
      <c r="C112" s="4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>
        <v>111</v>
      </c>
      <c r="V112" s="73" t="s">
        <v>559</v>
      </c>
      <c r="W112" s="73" t="s">
        <v>855</v>
      </c>
    </row>
    <row r="113" spans="2:23" ht="14" customHeight="1" x14ac:dyDescent="0.15">
      <c r="B113" s="72"/>
      <c r="C113" s="4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>
        <v>112</v>
      </c>
      <c r="V113" s="73" t="s">
        <v>856</v>
      </c>
      <c r="W113" s="73" t="s">
        <v>857</v>
      </c>
    </row>
    <row r="114" spans="2:23" ht="14" customHeight="1" x14ac:dyDescent="0.15">
      <c r="B114" s="72"/>
      <c r="C114" s="4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>
        <v>113</v>
      </c>
      <c r="V114" s="73" t="s">
        <v>858</v>
      </c>
      <c r="W114" s="73" t="s">
        <v>859</v>
      </c>
    </row>
    <row r="115" spans="2:23" ht="14" customHeight="1" x14ac:dyDescent="0.15">
      <c r="B115" s="72"/>
      <c r="C115" s="4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>
        <v>114</v>
      </c>
      <c r="V115" s="73" t="s">
        <v>562</v>
      </c>
      <c r="W115" s="73" t="s">
        <v>860</v>
      </c>
    </row>
    <row r="116" spans="2:23" ht="14" customHeight="1" x14ac:dyDescent="0.15">
      <c r="B116" s="72"/>
      <c r="C116" s="4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>
        <v>115</v>
      </c>
      <c r="V116" s="73" t="s">
        <v>861</v>
      </c>
      <c r="W116" s="73" t="s">
        <v>862</v>
      </c>
    </row>
    <row r="117" spans="2:23" ht="14" customHeight="1" x14ac:dyDescent="0.15">
      <c r="B117" s="72"/>
      <c r="C117" s="4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>
        <v>116</v>
      </c>
      <c r="V117" s="73" t="s">
        <v>863</v>
      </c>
      <c r="W117" s="73" t="s">
        <v>864</v>
      </c>
    </row>
    <row r="118" spans="2:23" ht="14" customHeight="1" x14ac:dyDescent="0.15">
      <c r="B118" s="72"/>
      <c r="C118" s="4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>
        <v>117</v>
      </c>
      <c r="V118" s="73" t="s">
        <v>564</v>
      </c>
      <c r="W118" s="73" t="s">
        <v>865</v>
      </c>
    </row>
    <row r="119" spans="2:23" ht="14" customHeight="1" x14ac:dyDescent="0.15">
      <c r="B119" s="72"/>
      <c r="C119" s="4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>
        <v>118</v>
      </c>
      <c r="V119" s="73" t="s">
        <v>565</v>
      </c>
      <c r="W119" s="73" t="s">
        <v>866</v>
      </c>
    </row>
    <row r="120" spans="2:23" ht="14" customHeight="1" x14ac:dyDescent="0.15">
      <c r="B120" s="72"/>
      <c r="C120" s="4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>
        <v>119</v>
      </c>
      <c r="V120" s="73" t="s">
        <v>571</v>
      </c>
      <c r="W120" s="73" t="s">
        <v>867</v>
      </c>
    </row>
    <row r="121" spans="2:23" ht="14" customHeight="1" x14ac:dyDescent="0.15">
      <c r="B121" s="72"/>
      <c r="C121" s="4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>
        <v>120</v>
      </c>
      <c r="V121" s="73" t="s">
        <v>868</v>
      </c>
      <c r="W121" s="73" t="s">
        <v>869</v>
      </c>
    </row>
    <row r="122" spans="2:23" ht="14" customHeight="1" x14ac:dyDescent="0.15">
      <c r="B122" s="72"/>
      <c r="C122" s="4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>
        <v>121</v>
      </c>
      <c r="V122" s="73" t="s">
        <v>870</v>
      </c>
      <c r="W122" s="73" t="s">
        <v>871</v>
      </c>
    </row>
    <row r="123" spans="2:23" ht="14" customHeight="1" x14ac:dyDescent="0.15">
      <c r="B123" s="72"/>
      <c r="C123" s="4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>
        <v>122</v>
      </c>
      <c r="V123" s="73" t="s">
        <v>573</v>
      </c>
      <c r="W123" s="73" t="s">
        <v>872</v>
      </c>
    </row>
    <row r="124" spans="2:23" ht="14" customHeight="1" x14ac:dyDescent="0.15">
      <c r="B124" s="72"/>
      <c r="C124" s="4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>
        <v>123</v>
      </c>
      <c r="V124" s="73" t="s">
        <v>576</v>
      </c>
      <c r="W124" s="73" t="s">
        <v>873</v>
      </c>
    </row>
    <row r="125" spans="2:23" ht="14" customHeight="1" x14ac:dyDescent="0.15">
      <c r="B125" s="72"/>
      <c r="C125" s="4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>
        <v>124</v>
      </c>
      <c r="V125" s="73" t="s">
        <v>577</v>
      </c>
      <c r="W125" s="73" t="s">
        <v>874</v>
      </c>
    </row>
    <row r="126" spans="2:23" ht="14" customHeight="1" x14ac:dyDescent="0.15">
      <c r="B126" s="72"/>
      <c r="C126" s="4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>
        <v>125</v>
      </c>
      <c r="V126" s="73" t="s">
        <v>578</v>
      </c>
      <c r="W126" s="73" t="s">
        <v>875</v>
      </c>
    </row>
    <row r="127" spans="2:23" ht="14" customHeight="1" x14ac:dyDescent="0.15">
      <c r="B127" s="72"/>
      <c r="C127" s="4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>
        <v>126</v>
      </c>
      <c r="V127" s="73" t="s">
        <v>876</v>
      </c>
      <c r="W127" s="73" t="s">
        <v>877</v>
      </c>
    </row>
    <row r="128" spans="2:23" ht="14" customHeight="1" x14ac:dyDescent="0.15">
      <c r="B128" s="72"/>
      <c r="C128" s="4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>
        <v>127</v>
      </c>
      <c r="V128" s="73" t="s">
        <v>878</v>
      </c>
      <c r="W128" s="73" t="s">
        <v>879</v>
      </c>
    </row>
    <row r="129" spans="2:23" ht="14" customHeight="1" x14ac:dyDescent="0.15">
      <c r="B129" s="72"/>
      <c r="C129" s="4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>
        <v>128</v>
      </c>
      <c r="V129" s="73" t="s">
        <v>580</v>
      </c>
      <c r="W129" s="73" t="s">
        <v>880</v>
      </c>
    </row>
    <row r="130" spans="2:23" ht="14" customHeight="1" x14ac:dyDescent="0.15">
      <c r="B130" s="72"/>
      <c r="C130" s="4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>
        <v>129</v>
      </c>
      <c r="V130" s="73" t="s">
        <v>881</v>
      </c>
      <c r="W130" s="73" t="s">
        <v>882</v>
      </c>
    </row>
    <row r="131" spans="2:23" ht="14" customHeight="1" x14ac:dyDescent="0.15">
      <c r="B131" s="72"/>
      <c r="C131" s="4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>
        <v>130</v>
      </c>
      <c r="V131" s="73" t="s">
        <v>883</v>
      </c>
      <c r="W131" s="73" t="s">
        <v>884</v>
      </c>
    </row>
    <row r="132" spans="2:23" ht="14" customHeight="1" x14ac:dyDescent="0.15">
      <c r="B132" s="72"/>
      <c r="C132" s="4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>
        <v>131</v>
      </c>
      <c r="V132" s="73" t="s">
        <v>589</v>
      </c>
      <c r="W132" s="73" t="s">
        <v>885</v>
      </c>
    </row>
    <row r="133" spans="2:23" ht="14" customHeight="1" x14ac:dyDescent="0.15">
      <c r="B133" s="72"/>
      <c r="C133" s="4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>
        <v>132</v>
      </c>
      <c r="V133" s="73" t="s">
        <v>590</v>
      </c>
      <c r="W133" s="73" t="s">
        <v>886</v>
      </c>
    </row>
    <row r="134" spans="2:23" ht="14" customHeight="1" x14ac:dyDescent="0.15">
      <c r="B134" s="72"/>
      <c r="C134" s="4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>
        <v>133</v>
      </c>
      <c r="V134" s="73" t="s">
        <v>591</v>
      </c>
      <c r="W134" s="73" t="s">
        <v>887</v>
      </c>
    </row>
    <row r="135" spans="2:23" ht="14" customHeight="1" x14ac:dyDescent="0.15">
      <c r="B135" s="72"/>
      <c r="C135" s="4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>
        <v>134</v>
      </c>
      <c r="V135" s="73" t="s">
        <v>598</v>
      </c>
      <c r="W135" s="73" t="s">
        <v>888</v>
      </c>
    </row>
    <row r="136" spans="2:23" ht="14" customHeight="1" x14ac:dyDescent="0.15">
      <c r="B136" s="72"/>
      <c r="C136" s="4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>
        <v>135</v>
      </c>
      <c r="V136" s="73" t="s">
        <v>889</v>
      </c>
      <c r="W136" s="73" t="s">
        <v>890</v>
      </c>
    </row>
    <row r="137" spans="2:23" ht="14" customHeight="1" x14ac:dyDescent="0.15">
      <c r="B137" s="72"/>
      <c r="C137" s="4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>
        <v>136</v>
      </c>
      <c r="V137" s="73" t="s">
        <v>891</v>
      </c>
      <c r="W137" s="73" t="s">
        <v>892</v>
      </c>
    </row>
    <row r="138" spans="2:23" ht="14" customHeight="1" x14ac:dyDescent="0.15">
      <c r="B138" s="72"/>
      <c r="C138" s="4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>
        <v>137</v>
      </c>
      <c r="V138" s="73" t="s">
        <v>600</v>
      </c>
      <c r="W138" s="73" t="s">
        <v>893</v>
      </c>
    </row>
    <row r="139" spans="2:23" ht="14" customHeight="1" x14ac:dyDescent="0.15">
      <c r="B139" s="72"/>
      <c r="C139" s="4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>
        <v>138</v>
      </c>
      <c r="V139" s="73" t="s">
        <v>894</v>
      </c>
      <c r="W139" s="73" t="s">
        <v>895</v>
      </c>
    </row>
    <row r="140" spans="2:23" ht="14" customHeight="1" x14ac:dyDescent="0.15">
      <c r="B140" s="72"/>
      <c r="C140" s="4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>
        <v>139</v>
      </c>
      <c r="V140" s="73" t="s">
        <v>896</v>
      </c>
      <c r="W140" s="73" t="s">
        <v>897</v>
      </c>
    </row>
    <row r="141" spans="2:23" ht="14" customHeight="1" x14ac:dyDescent="0.15">
      <c r="B141" s="72"/>
      <c r="C141" s="4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>
        <v>140</v>
      </c>
      <c r="V141" s="73" t="s">
        <v>607</v>
      </c>
      <c r="W141" s="73" t="s">
        <v>898</v>
      </c>
    </row>
    <row r="142" spans="2:23" ht="14" customHeight="1" x14ac:dyDescent="0.15">
      <c r="B142" s="72"/>
      <c r="C142" s="4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>
        <v>141</v>
      </c>
      <c r="V142" s="73" t="s">
        <v>899</v>
      </c>
      <c r="W142" s="73" t="s">
        <v>900</v>
      </c>
    </row>
    <row r="143" spans="2:23" ht="14" customHeight="1" x14ac:dyDescent="0.15">
      <c r="B143" s="72"/>
      <c r="C143" s="4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>
        <v>142</v>
      </c>
      <c r="V143" s="73" t="s">
        <v>901</v>
      </c>
      <c r="W143" s="73" t="s">
        <v>902</v>
      </c>
    </row>
    <row r="144" spans="2:23" ht="14" customHeight="1" x14ac:dyDescent="0.15">
      <c r="B144" s="72"/>
      <c r="C144" s="4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>
        <v>143</v>
      </c>
      <c r="V144" s="73" t="s">
        <v>609</v>
      </c>
      <c r="W144" s="73" t="s">
        <v>903</v>
      </c>
    </row>
    <row r="145" spans="2:23" ht="14" customHeight="1" x14ac:dyDescent="0.15">
      <c r="B145" s="72"/>
      <c r="C145" s="48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>
        <v>144</v>
      </c>
      <c r="V145" s="73" t="s">
        <v>904</v>
      </c>
      <c r="W145" s="73" t="s">
        <v>905</v>
      </c>
    </row>
    <row r="146" spans="2:23" ht="14" customHeight="1" x14ac:dyDescent="0.15">
      <c r="B146" s="72"/>
      <c r="C146" s="4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>
        <v>145</v>
      </c>
      <c r="V146" s="73" t="s">
        <v>906</v>
      </c>
      <c r="W146" s="73" t="s">
        <v>907</v>
      </c>
    </row>
    <row r="147" spans="2:23" ht="14" customHeight="1" x14ac:dyDescent="0.15">
      <c r="B147" s="72"/>
      <c r="C147" s="48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>
        <v>146</v>
      </c>
      <c r="V147" s="73" t="s">
        <v>614</v>
      </c>
      <c r="W147" s="73" t="s">
        <v>908</v>
      </c>
    </row>
    <row r="148" spans="2:23" ht="14" customHeight="1" x14ac:dyDescent="0.15">
      <c r="B148" s="72"/>
      <c r="C148" s="4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>
        <v>147</v>
      </c>
      <c r="V148" s="73" t="s">
        <v>615</v>
      </c>
      <c r="W148" s="73" t="s">
        <v>909</v>
      </c>
    </row>
    <row r="149" spans="2:23" ht="14" customHeight="1" x14ac:dyDescent="0.15">
      <c r="B149" s="72"/>
      <c r="C149" s="48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>
        <v>148</v>
      </c>
      <c r="V149" s="73" t="s">
        <v>616</v>
      </c>
      <c r="W149" s="73" t="s">
        <v>910</v>
      </c>
    </row>
    <row r="150" spans="2:23" ht="14" customHeight="1" x14ac:dyDescent="0.15">
      <c r="B150" s="72"/>
      <c r="C150" s="4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>
        <v>149</v>
      </c>
      <c r="V150" s="73" t="s">
        <v>911</v>
      </c>
      <c r="W150" s="73" t="s">
        <v>912</v>
      </c>
    </row>
    <row r="151" spans="2:23" ht="14" customHeight="1" x14ac:dyDescent="0.15">
      <c r="B151" s="72"/>
      <c r="C151" s="48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>
        <v>150</v>
      </c>
      <c r="V151" s="73" t="s">
        <v>913</v>
      </c>
      <c r="W151" s="73" t="s">
        <v>914</v>
      </c>
    </row>
    <row r="152" spans="2:23" ht="14" customHeight="1" x14ac:dyDescent="0.15">
      <c r="B152" s="72"/>
      <c r="C152" s="48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>
        <v>151</v>
      </c>
      <c r="V152" s="73" t="s">
        <v>618</v>
      </c>
      <c r="W152" s="73" t="s">
        <v>915</v>
      </c>
    </row>
    <row r="153" spans="2:23" ht="14" customHeight="1" x14ac:dyDescent="0.15">
      <c r="B153" s="72"/>
      <c r="C153" s="48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>
        <v>152</v>
      </c>
      <c r="V153" s="73" t="s">
        <v>624</v>
      </c>
      <c r="W153" s="73" t="s">
        <v>916</v>
      </c>
    </row>
    <row r="154" spans="2:23" ht="14" customHeight="1" x14ac:dyDescent="0.15">
      <c r="B154" s="72"/>
      <c r="C154" s="48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>
        <v>153</v>
      </c>
      <c r="V154" s="73" t="s">
        <v>625</v>
      </c>
      <c r="W154" s="73" t="s">
        <v>917</v>
      </c>
    </row>
    <row r="155" spans="2:23" ht="14" customHeight="1" x14ac:dyDescent="0.15">
      <c r="B155" s="72"/>
      <c r="C155" s="48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>
        <v>154</v>
      </c>
      <c r="V155" s="73" t="s">
        <v>626</v>
      </c>
      <c r="W155" s="73" t="s">
        <v>918</v>
      </c>
    </row>
    <row r="156" spans="2:23" ht="14" customHeight="1" x14ac:dyDescent="0.15">
      <c r="B156" s="72"/>
      <c r="C156" s="48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</row>
    <row r="157" spans="2:23" ht="14" customHeight="1" x14ac:dyDescent="0.15">
      <c r="B157" s="72"/>
      <c r="C157" s="48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</row>
    <row r="158" spans="2:23" ht="14" customHeight="1" x14ac:dyDescent="0.15">
      <c r="B158" s="72"/>
      <c r="C158" s="48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</row>
    <row r="159" spans="2:23" ht="14" customHeight="1" x14ac:dyDescent="0.15">
      <c r="B159" s="72"/>
      <c r="C159" s="48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</row>
    <row r="160" spans="2:23" ht="14" customHeight="1" x14ac:dyDescent="0.15">
      <c r="B160" s="72"/>
      <c r="C160" s="48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</row>
    <row r="161" spans="2:3" ht="14" customHeight="1" x14ac:dyDescent="0.15">
      <c r="B161" s="72"/>
      <c r="C161" s="48"/>
    </row>
    <row r="162" spans="2:3" ht="14" customHeight="1" x14ac:dyDescent="0.15">
      <c r="B162" s="72"/>
      <c r="C162" s="48"/>
    </row>
    <row r="163" spans="2:3" ht="14" customHeight="1" x14ac:dyDescent="0.15">
      <c r="B163" s="72"/>
      <c r="C163" s="48"/>
    </row>
    <row r="164" spans="2:3" ht="14" customHeight="1" x14ac:dyDescent="0.15">
      <c r="B164" s="72"/>
      <c r="C164" s="48"/>
    </row>
    <row r="165" spans="2:3" ht="14" customHeight="1" x14ac:dyDescent="0.15">
      <c r="B165" s="72"/>
      <c r="C165" s="48"/>
    </row>
    <row r="166" spans="2:3" ht="14" customHeight="1" x14ac:dyDescent="0.15">
      <c r="B166" s="72"/>
      <c r="C166" s="48"/>
    </row>
    <row r="167" spans="2:3" ht="14" customHeight="1" x14ac:dyDescent="0.15">
      <c r="B167" s="72"/>
      <c r="C167" s="48"/>
    </row>
    <row r="168" spans="2:3" ht="14" customHeight="1" x14ac:dyDescent="0.15">
      <c r="B168" s="72"/>
      <c r="C168" s="48"/>
    </row>
    <row r="169" spans="2:3" ht="14" customHeight="1" x14ac:dyDescent="0.15">
      <c r="B169" s="72"/>
      <c r="C169" s="48"/>
    </row>
    <row r="170" spans="2:3" ht="14" customHeight="1" x14ac:dyDescent="0.15">
      <c r="B170" s="72"/>
      <c r="C170" s="48"/>
    </row>
    <row r="171" spans="2:3" ht="14" customHeight="1" x14ac:dyDescent="0.15">
      <c r="B171" s="72"/>
      <c r="C171" s="48"/>
    </row>
    <row r="172" spans="2:3" ht="14" customHeight="1" x14ac:dyDescent="0.15">
      <c r="B172" s="72"/>
      <c r="C172" s="48"/>
    </row>
    <row r="173" spans="2:3" ht="14" customHeight="1" x14ac:dyDescent="0.15">
      <c r="B173" s="72"/>
      <c r="C173" s="48"/>
    </row>
    <row r="174" spans="2:3" ht="14" customHeight="1" x14ac:dyDescent="0.15">
      <c r="B174" s="72"/>
      <c r="C174" s="48"/>
    </row>
    <row r="175" spans="2:3" ht="14" customHeight="1" x14ac:dyDescent="0.15">
      <c r="B175" s="72"/>
      <c r="C175" s="48"/>
    </row>
    <row r="176" spans="2:3" ht="14" customHeight="1" x14ac:dyDescent="0.15">
      <c r="B176" s="72"/>
      <c r="C176" s="48"/>
    </row>
    <row r="177" spans="2:3" ht="14" customHeight="1" x14ac:dyDescent="0.15">
      <c r="B177" s="72"/>
      <c r="C177" s="48"/>
    </row>
    <row r="178" spans="2:3" ht="14" customHeight="1" x14ac:dyDescent="0.15">
      <c r="B178" s="72"/>
      <c r="C178" s="48"/>
    </row>
    <row r="179" spans="2:3" ht="14" customHeight="1" x14ac:dyDescent="0.15">
      <c r="B179" s="72"/>
      <c r="C179" s="48"/>
    </row>
    <row r="180" spans="2:3" ht="14" customHeight="1" x14ac:dyDescent="0.15">
      <c r="B180" s="72"/>
      <c r="C180" s="48"/>
    </row>
    <row r="181" spans="2:3" ht="14" customHeight="1" x14ac:dyDescent="0.15">
      <c r="B181" s="72"/>
      <c r="C181" s="48"/>
    </row>
    <row r="182" spans="2:3" ht="14" customHeight="1" x14ac:dyDescent="0.15">
      <c r="B182" s="72"/>
      <c r="C182" s="48"/>
    </row>
    <row r="183" spans="2:3" ht="14" customHeight="1" x14ac:dyDescent="0.15">
      <c r="B183" s="72"/>
      <c r="C183" s="48"/>
    </row>
    <row r="184" spans="2:3" ht="14" customHeight="1" x14ac:dyDescent="0.15">
      <c r="B184" s="72"/>
      <c r="C184" s="48"/>
    </row>
    <row r="185" spans="2:3" ht="14" customHeight="1" x14ac:dyDescent="0.15">
      <c r="B185" s="72"/>
      <c r="C185" s="48"/>
    </row>
    <row r="186" spans="2:3" ht="14" customHeight="1" x14ac:dyDescent="0.15">
      <c r="B186" s="72"/>
      <c r="C186" s="48"/>
    </row>
    <row r="187" spans="2:3" ht="14" customHeight="1" x14ac:dyDescent="0.15">
      <c r="B187" s="72"/>
      <c r="C187" s="48"/>
    </row>
    <row r="188" spans="2:3" ht="14" customHeight="1" x14ac:dyDescent="0.15">
      <c r="B188" s="72"/>
      <c r="C188" s="48"/>
    </row>
    <row r="189" spans="2:3" ht="14" customHeight="1" x14ac:dyDescent="0.15">
      <c r="B189" s="72"/>
      <c r="C189" s="48"/>
    </row>
    <row r="190" spans="2:3" ht="14" customHeight="1" x14ac:dyDescent="0.15">
      <c r="B190" s="72"/>
      <c r="C190" s="48"/>
    </row>
    <row r="191" spans="2:3" ht="14" customHeight="1" x14ac:dyDescent="0.15">
      <c r="B191" s="72"/>
      <c r="C191" s="48"/>
    </row>
    <row r="192" spans="2:3" ht="14" customHeight="1" x14ac:dyDescent="0.15">
      <c r="B192" s="72"/>
      <c r="C192" s="48"/>
    </row>
    <row r="193" spans="2:3" ht="14" customHeight="1" x14ac:dyDescent="0.15">
      <c r="B193" s="72"/>
      <c r="C193" s="48"/>
    </row>
    <row r="194" spans="2:3" ht="14" customHeight="1" x14ac:dyDescent="0.15">
      <c r="B194" s="72"/>
      <c r="C194" s="48"/>
    </row>
    <row r="195" spans="2:3" ht="14" customHeight="1" x14ac:dyDescent="0.15">
      <c r="B195" s="72"/>
      <c r="C195" s="48"/>
    </row>
    <row r="196" spans="2:3" ht="14" customHeight="1" x14ac:dyDescent="0.15">
      <c r="B196" s="72"/>
      <c r="C196" s="48"/>
    </row>
    <row r="197" spans="2:3" ht="14" customHeight="1" x14ac:dyDescent="0.15">
      <c r="B197" s="72"/>
      <c r="C197" s="48"/>
    </row>
    <row r="198" spans="2:3" ht="14" customHeight="1" x14ac:dyDescent="0.15">
      <c r="B198" s="72"/>
      <c r="C198" s="48"/>
    </row>
    <row r="199" spans="2:3" ht="14" customHeight="1" x14ac:dyDescent="0.15">
      <c r="B199" s="72"/>
      <c r="C199" s="48"/>
    </row>
    <row r="200" spans="2:3" ht="14" customHeight="1" x14ac:dyDescent="0.15">
      <c r="B200" s="72"/>
      <c r="C200" s="48"/>
    </row>
    <row r="201" spans="2:3" ht="14" customHeight="1" x14ac:dyDescent="0.15">
      <c r="B201" s="72"/>
      <c r="C201" s="48"/>
    </row>
    <row r="202" spans="2:3" ht="14" customHeight="1" x14ac:dyDescent="0.15">
      <c r="B202" s="72"/>
      <c r="C202" s="48"/>
    </row>
    <row r="203" spans="2:3" ht="14" customHeight="1" x14ac:dyDescent="0.15">
      <c r="B203" s="72"/>
      <c r="C203" s="48"/>
    </row>
    <row r="204" spans="2:3" ht="14" customHeight="1" x14ac:dyDescent="0.15">
      <c r="B204" s="72"/>
      <c r="C204" s="48"/>
    </row>
    <row r="205" spans="2:3" ht="14" customHeight="1" x14ac:dyDescent="0.15">
      <c r="B205" s="72"/>
      <c r="C205" s="48"/>
    </row>
    <row r="206" spans="2:3" ht="14" customHeight="1" x14ac:dyDescent="0.15">
      <c r="B206" s="72"/>
      <c r="C206" s="48"/>
    </row>
    <row r="207" spans="2:3" ht="14" customHeight="1" x14ac:dyDescent="0.15">
      <c r="B207" s="72"/>
      <c r="C207" s="48"/>
    </row>
    <row r="208" spans="2:3" ht="14" customHeight="1" x14ac:dyDescent="0.15">
      <c r="B208" s="72"/>
      <c r="C208" s="48"/>
    </row>
    <row r="209" spans="2:3" ht="14" customHeight="1" x14ac:dyDescent="0.15">
      <c r="B209" s="72"/>
      <c r="C209" s="48"/>
    </row>
    <row r="210" spans="2:3" ht="14" customHeight="1" x14ac:dyDescent="0.15">
      <c r="B210" s="72"/>
      <c r="C210" s="48"/>
    </row>
    <row r="211" spans="2:3" ht="14" customHeight="1" x14ac:dyDescent="0.15">
      <c r="B211" s="72"/>
      <c r="C211" s="48"/>
    </row>
    <row r="212" spans="2:3" ht="14" customHeight="1" x14ac:dyDescent="0.15">
      <c r="B212" s="72"/>
      <c r="C212" s="48"/>
    </row>
    <row r="213" spans="2:3" ht="14" customHeight="1" x14ac:dyDescent="0.15">
      <c r="B213" s="72"/>
      <c r="C213" s="48"/>
    </row>
    <row r="214" spans="2:3" ht="14" customHeight="1" x14ac:dyDescent="0.15">
      <c r="B214" s="72"/>
      <c r="C214" s="48"/>
    </row>
    <row r="215" spans="2:3" ht="14" customHeight="1" x14ac:dyDescent="0.15">
      <c r="B215" s="72"/>
      <c r="C215" s="48"/>
    </row>
    <row r="216" spans="2:3" ht="14" customHeight="1" x14ac:dyDescent="0.15">
      <c r="B216" s="72"/>
      <c r="C216" s="48"/>
    </row>
    <row r="217" spans="2:3" ht="14" customHeight="1" x14ac:dyDescent="0.15">
      <c r="B217" s="72"/>
      <c r="C217" s="48"/>
    </row>
    <row r="218" spans="2:3" ht="14" customHeight="1" x14ac:dyDescent="0.15">
      <c r="B218" s="72"/>
      <c r="C218" s="48"/>
    </row>
    <row r="219" spans="2:3" ht="14" customHeight="1" x14ac:dyDescent="0.15">
      <c r="B219" s="72"/>
      <c r="C219" s="48"/>
    </row>
    <row r="220" spans="2:3" ht="14" customHeight="1" x14ac:dyDescent="0.15">
      <c r="B220" s="72"/>
      <c r="C220" s="48"/>
    </row>
    <row r="221" spans="2:3" ht="14" customHeight="1" x14ac:dyDescent="0.15">
      <c r="B221" s="72"/>
      <c r="C221" s="48"/>
    </row>
    <row r="222" spans="2:3" ht="14" customHeight="1" x14ac:dyDescent="0.15">
      <c r="B222" s="72"/>
      <c r="C222" s="48"/>
    </row>
    <row r="223" spans="2:3" ht="14" customHeight="1" x14ac:dyDescent="0.15">
      <c r="B223" s="72"/>
      <c r="C223" s="48"/>
    </row>
    <row r="224" spans="2:3" ht="14" customHeight="1" x14ac:dyDescent="0.15">
      <c r="B224" s="72"/>
      <c r="C224" s="48"/>
    </row>
    <row r="225" spans="2:3" ht="14" customHeight="1" x14ac:dyDescent="0.15">
      <c r="B225" s="72"/>
      <c r="C225" s="48"/>
    </row>
    <row r="226" spans="2:3" ht="14" customHeight="1" x14ac:dyDescent="0.15">
      <c r="B226" s="72"/>
      <c r="C226" s="48"/>
    </row>
    <row r="227" spans="2:3" ht="14" customHeight="1" x14ac:dyDescent="0.15">
      <c r="B227" s="72"/>
      <c r="C227" s="48"/>
    </row>
    <row r="228" spans="2:3" ht="14" customHeight="1" x14ac:dyDescent="0.15">
      <c r="B228" s="72"/>
      <c r="C228" s="48"/>
    </row>
    <row r="229" spans="2:3" ht="14" customHeight="1" x14ac:dyDescent="0.15">
      <c r="B229" s="72"/>
      <c r="C229" s="48"/>
    </row>
    <row r="230" spans="2:3" ht="14" customHeight="1" x14ac:dyDescent="0.15">
      <c r="B230" s="72"/>
      <c r="C230" s="48"/>
    </row>
    <row r="231" spans="2:3" ht="14" customHeight="1" x14ac:dyDescent="0.15">
      <c r="B231" s="72"/>
      <c r="C231" s="48"/>
    </row>
    <row r="232" spans="2:3" ht="14" customHeight="1" x14ac:dyDescent="0.15">
      <c r="B232" s="72"/>
      <c r="C232" s="48"/>
    </row>
    <row r="233" spans="2:3" ht="14" customHeight="1" x14ac:dyDescent="0.15">
      <c r="B233" s="72"/>
      <c r="C233" s="48"/>
    </row>
    <row r="234" spans="2:3" ht="14" customHeight="1" x14ac:dyDescent="0.15">
      <c r="B234" s="72"/>
      <c r="C234" s="48"/>
    </row>
    <row r="235" spans="2:3" ht="14" customHeight="1" x14ac:dyDescent="0.15">
      <c r="B235" s="72"/>
      <c r="C235" s="48"/>
    </row>
    <row r="236" spans="2:3" ht="14" customHeight="1" x14ac:dyDescent="0.15">
      <c r="B236" s="72"/>
      <c r="C236" s="48"/>
    </row>
    <row r="237" spans="2:3" ht="14" customHeight="1" x14ac:dyDescent="0.15">
      <c r="B237" s="72"/>
      <c r="C237" s="48"/>
    </row>
    <row r="238" spans="2:3" ht="14" customHeight="1" x14ac:dyDescent="0.15">
      <c r="B238" s="72"/>
      <c r="C238" s="48"/>
    </row>
    <row r="239" spans="2:3" ht="14" customHeight="1" x14ac:dyDescent="0.15">
      <c r="B239" s="72"/>
      <c r="C239" s="48"/>
    </row>
    <row r="240" spans="2:3" ht="14" customHeight="1" x14ac:dyDescent="0.15">
      <c r="B240" s="72"/>
      <c r="C240" s="48"/>
    </row>
    <row r="241" spans="2:3" ht="14" customHeight="1" x14ac:dyDescent="0.15">
      <c r="B241" s="72"/>
      <c r="C241" s="48"/>
    </row>
    <row r="242" spans="2:3" ht="14" customHeight="1" x14ac:dyDescent="0.15">
      <c r="B242" s="72"/>
      <c r="C242" s="48"/>
    </row>
    <row r="243" spans="2:3" ht="14" customHeight="1" x14ac:dyDescent="0.15">
      <c r="B243" s="72"/>
      <c r="C243" s="48"/>
    </row>
    <row r="244" spans="2:3" ht="14" customHeight="1" x14ac:dyDescent="0.15">
      <c r="B244" s="72"/>
      <c r="C244" s="48"/>
    </row>
    <row r="245" spans="2:3" ht="14" customHeight="1" x14ac:dyDescent="0.15">
      <c r="B245" s="72"/>
      <c r="C245" s="48"/>
    </row>
    <row r="246" spans="2:3" ht="14" customHeight="1" x14ac:dyDescent="0.15">
      <c r="B246" s="72"/>
      <c r="C246" s="48"/>
    </row>
    <row r="247" spans="2:3" ht="14" customHeight="1" x14ac:dyDescent="0.15">
      <c r="B247" s="72"/>
      <c r="C247" s="48"/>
    </row>
    <row r="248" spans="2:3" ht="14" customHeight="1" x14ac:dyDescent="0.15">
      <c r="B248" s="72"/>
      <c r="C248" s="48"/>
    </row>
    <row r="249" spans="2:3" ht="14" customHeight="1" x14ac:dyDescent="0.15">
      <c r="B249" s="72"/>
      <c r="C249" s="48"/>
    </row>
    <row r="250" spans="2:3" ht="14" customHeight="1" x14ac:dyDescent="0.15">
      <c r="B250" s="72"/>
      <c r="C250" s="48"/>
    </row>
    <row r="251" spans="2:3" ht="14" customHeight="1" x14ac:dyDescent="0.15">
      <c r="B251" s="72"/>
      <c r="C251" s="48"/>
    </row>
    <row r="252" spans="2:3" ht="14" customHeight="1" x14ac:dyDescent="0.15">
      <c r="B252" s="72"/>
      <c r="C252" s="48"/>
    </row>
    <row r="253" spans="2:3" ht="14" customHeight="1" x14ac:dyDescent="0.15">
      <c r="B253" s="72"/>
      <c r="C253" s="48"/>
    </row>
    <row r="254" spans="2:3" ht="14" customHeight="1" x14ac:dyDescent="0.15">
      <c r="B254" s="72"/>
      <c r="C254" s="48"/>
    </row>
    <row r="255" spans="2:3" ht="14" customHeight="1" x14ac:dyDescent="0.15">
      <c r="B255" s="72"/>
      <c r="C255" s="48"/>
    </row>
    <row r="256" spans="2:3" ht="14" customHeight="1" x14ac:dyDescent="0.15">
      <c r="B256" s="72"/>
      <c r="C256" s="48"/>
    </row>
    <row r="257" spans="2:3" ht="14" customHeight="1" x14ac:dyDescent="0.15">
      <c r="B257" s="72"/>
      <c r="C257" s="48"/>
    </row>
    <row r="258" spans="2:3" ht="14" customHeight="1" x14ac:dyDescent="0.15">
      <c r="B258" s="72"/>
      <c r="C258" s="48"/>
    </row>
    <row r="259" spans="2:3" ht="14" customHeight="1" x14ac:dyDescent="0.15">
      <c r="B259" s="72"/>
      <c r="C259" s="48"/>
    </row>
    <row r="260" spans="2:3" ht="14" customHeight="1" x14ac:dyDescent="0.15">
      <c r="B260" s="72"/>
      <c r="C260" s="48"/>
    </row>
    <row r="261" spans="2:3" ht="14" customHeight="1" x14ac:dyDescent="0.15">
      <c r="B261" s="72"/>
      <c r="C261" s="48"/>
    </row>
    <row r="262" spans="2:3" ht="14" customHeight="1" x14ac:dyDescent="0.15">
      <c r="B262" s="72"/>
      <c r="C262" s="48"/>
    </row>
    <row r="263" spans="2:3" ht="14" customHeight="1" x14ac:dyDescent="0.15">
      <c r="B263" s="72"/>
      <c r="C263" s="48"/>
    </row>
    <row r="264" spans="2:3" ht="14" customHeight="1" x14ac:dyDescent="0.15">
      <c r="B264" s="72"/>
      <c r="C264" s="48"/>
    </row>
    <row r="265" spans="2:3" ht="14" customHeight="1" x14ac:dyDescent="0.15">
      <c r="B265" s="72"/>
      <c r="C265" s="48"/>
    </row>
    <row r="266" spans="2:3" ht="14" customHeight="1" x14ac:dyDescent="0.15">
      <c r="B266" s="72"/>
      <c r="C266" s="48"/>
    </row>
    <row r="267" spans="2:3" ht="14" customHeight="1" x14ac:dyDescent="0.15">
      <c r="B267" s="72"/>
      <c r="C267" s="48"/>
    </row>
    <row r="268" spans="2:3" ht="14" customHeight="1" x14ac:dyDescent="0.15">
      <c r="B268" s="72"/>
      <c r="C268" s="48"/>
    </row>
    <row r="269" spans="2:3" ht="14" customHeight="1" x14ac:dyDescent="0.15">
      <c r="B269" s="72"/>
      <c r="C269" s="48"/>
    </row>
    <row r="270" spans="2:3" ht="14" customHeight="1" x14ac:dyDescent="0.15">
      <c r="B270" s="72"/>
      <c r="C270" s="48"/>
    </row>
    <row r="271" spans="2:3" ht="14" customHeight="1" x14ac:dyDescent="0.15">
      <c r="B271" s="72"/>
      <c r="C271" s="48"/>
    </row>
    <row r="272" spans="2:3" ht="14" customHeight="1" x14ac:dyDescent="0.15">
      <c r="B272" s="72"/>
      <c r="C272" s="48"/>
    </row>
    <row r="273" spans="2:3" ht="14" customHeight="1" x14ac:dyDescent="0.15">
      <c r="B273" s="72"/>
      <c r="C273" s="48"/>
    </row>
    <row r="274" spans="2:3" ht="14" customHeight="1" x14ac:dyDescent="0.15">
      <c r="B274" s="72"/>
      <c r="C274" s="48"/>
    </row>
    <row r="275" spans="2:3" ht="14" customHeight="1" x14ac:dyDescent="0.15">
      <c r="B275" s="72"/>
      <c r="C275" s="48"/>
    </row>
    <row r="276" spans="2:3" ht="14" customHeight="1" x14ac:dyDescent="0.15">
      <c r="B276" s="72"/>
      <c r="C276" s="48"/>
    </row>
    <row r="277" spans="2:3" ht="14" customHeight="1" x14ac:dyDescent="0.15">
      <c r="B277" s="72"/>
      <c r="C277" s="48"/>
    </row>
    <row r="278" spans="2:3" ht="14" customHeight="1" x14ac:dyDescent="0.15">
      <c r="B278" s="72"/>
      <c r="C278" s="48"/>
    </row>
    <row r="279" spans="2:3" ht="14" customHeight="1" x14ac:dyDescent="0.15">
      <c r="B279" s="72"/>
      <c r="C279" s="48"/>
    </row>
    <row r="280" spans="2:3" ht="14" customHeight="1" x14ac:dyDescent="0.15">
      <c r="B280" s="72"/>
      <c r="C280" s="48"/>
    </row>
    <row r="281" spans="2:3" ht="14" customHeight="1" x14ac:dyDescent="0.15">
      <c r="B281" s="72"/>
      <c r="C281" s="48"/>
    </row>
    <row r="282" spans="2:3" ht="14" customHeight="1" x14ac:dyDescent="0.15">
      <c r="B282" s="72"/>
      <c r="C282" s="48"/>
    </row>
    <row r="283" spans="2:3" ht="14" customHeight="1" x14ac:dyDescent="0.15">
      <c r="B283" s="72"/>
      <c r="C283" s="48"/>
    </row>
    <row r="284" spans="2:3" ht="14" customHeight="1" x14ac:dyDescent="0.15">
      <c r="B284" s="72"/>
      <c r="C284" s="48"/>
    </row>
    <row r="285" spans="2:3" ht="14" customHeight="1" x14ac:dyDescent="0.15">
      <c r="B285" s="72"/>
      <c r="C285" s="48"/>
    </row>
    <row r="286" spans="2:3" ht="14" customHeight="1" x14ac:dyDescent="0.15">
      <c r="B286" s="72"/>
      <c r="C286" s="48"/>
    </row>
    <row r="287" spans="2:3" ht="14" customHeight="1" x14ac:dyDescent="0.15">
      <c r="B287" s="72"/>
      <c r="C287" s="48"/>
    </row>
    <row r="288" spans="2:3" ht="14" customHeight="1" x14ac:dyDescent="0.15">
      <c r="B288" s="72"/>
      <c r="C288" s="48"/>
    </row>
    <row r="289" spans="2:3" ht="14" customHeight="1" x14ac:dyDescent="0.15">
      <c r="B289" s="72"/>
      <c r="C289" s="48"/>
    </row>
    <row r="290" spans="2:3" ht="14" customHeight="1" x14ac:dyDescent="0.15">
      <c r="B290" s="72"/>
      <c r="C290" s="48"/>
    </row>
    <row r="291" spans="2:3" ht="14" customHeight="1" x14ac:dyDescent="0.15">
      <c r="B291" s="72"/>
      <c r="C291" s="48"/>
    </row>
    <row r="292" spans="2:3" ht="14" customHeight="1" x14ac:dyDescent="0.15">
      <c r="B292" s="72"/>
      <c r="C292" s="48"/>
    </row>
    <row r="293" spans="2:3" ht="14" customHeight="1" x14ac:dyDescent="0.15">
      <c r="B293" s="72"/>
      <c r="C293" s="48"/>
    </row>
    <row r="294" spans="2:3" ht="14" customHeight="1" x14ac:dyDescent="0.15">
      <c r="B294" s="72"/>
      <c r="C294" s="48"/>
    </row>
    <row r="295" spans="2:3" ht="14" customHeight="1" x14ac:dyDescent="0.15">
      <c r="B295" s="72"/>
      <c r="C295" s="48"/>
    </row>
    <row r="296" spans="2:3" ht="14" customHeight="1" x14ac:dyDescent="0.15">
      <c r="B296" s="72"/>
      <c r="C296" s="48"/>
    </row>
    <row r="297" spans="2:3" ht="14" customHeight="1" x14ac:dyDescent="0.15">
      <c r="B297" s="72"/>
      <c r="C297" s="48"/>
    </row>
    <row r="298" spans="2:3" ht="14" customHeight="1" x14ac:dyDescent="0.15">
      <c r="B298" s="72"/>
      <c r="C298" s="48"/>
    </row>
    <row r="299" spans="2:3" ht="14" customHeight="1" x14ac:dyDescent="0.15">
      <c r="B299" s="72"/>
      <c r="C299" s="48"/>
    </row>
    <row r="300" spans="2:3" ht="14" customHeight="1" x14ac:dyDescent="0.15">
      <c r="B300" s="72"/>
      <c r="C300" s="48"/>
    </row>
    <row r="301" spans="2:3" ht="14" customHeight="1" x14ac:dyDescent="0.15">
      <c r="B301" s="72"/>
      <c r="C301" s="48"/>
    </row>
    <row r="302" spans="2:3" ht="14" customHeight="1" x14ac:dyDescent="0.15">
      <c r="B302" s="72"/>
      <c r="C302" s="48"/>
    </row>
    <row r="303" spans="2:3" ht="14" customHeight="1" x14ac:dyDescent="0.15">
      <c r="B303" s="72"/>
      <c r="C303" s="48"/>
    </row>
    <row r="304" spans="2:3" ht="14" customHeight="1" x14ac:dyDescent="0.15">
      <c r="B304" s="72"/>
      <c r="C304" s="48"/>
    </row>
    <row r="305" spans="2:3" ht="14" customHeight="1" x14ac:dyDescent="0.15">
      <c r="B305" s="72"/>
      <c r="C305" s="48"/>
    </row>
    <row r="306" spans="2:3" ht="14" customHeight="1" x14ac:dyDescent="0.15">
      <c r="B306" s="72"/>
      <c r="C306" s="48"/>
    </row>
    <row r="307" spans="2:3" ht="14" customHeight="1" x14ac:dyDescent="0.15">
      <c r="B307" s="72"/>
      <c r="C307" s="48"/>
    </row>
    <row r="308" spans="2:3" ht="14" customHeight="1" x14ac:dyDescent="0.15">
      <c r="B308" s="72"/>
      <c r="C308" s="48"/>
    </row>
    <row r="309" spans="2:3" ht="14" customHeight="1" x14ac:dyDescent="0.15">
      <c r="B309" s="72"/>
      <c r="C309" s="48"/>
    </row>
    <row r="310" spans="2:3" ht="14" customHeight="1" x14ac:dyDescent="0.15">
      <c r="B310" s="72"/>
      <c r="C310" s="48"/>
    </row>
    <row r="311" spans="2:3" ht="14" customHeight="1" x14ac:dyDescent="0.15">
      <c r="B311" s="72"/>
      <c r="C311" s="48"/>
    </row>
    <row r="312" spans="2:3" ht="14" customHeight="1" x14ac:dyDescent="0.15">
      <c r="B312" s="72"/>
      <c r="C312" s="48"/>
    </row>
    <row r="313" spans="2:3" ht="14" customHeight="1" x14ac:dyDescent="0.15">
      <c r="B313" s="72"/>
      <c r="C313" s="48"/>
    </row>
    <row r="314" spans="2:3" ht="14" customHeight="1" x14ac:dyDescent="0.15">
      <c r="B314" s="72"/>
      <c r="C314" s="48"/>
    </row>
    <row r="315" spans="2:3" ht="14" customHeight="1" x14ac:dyDescent="0.15">
      <c r="B315" s="72"/>
      <c r="C315" s="48"/>
    </row>
    <row r="316" spans="2:3" ht="14" customHeight="1" x14ac:dyDescent="0.15">
      <c r="B316" s="72"/>
      <c r="C316" s="48"/>
    </row>
    <row r="317" spans="2:3" ht="14" customHeight="1" x14ac:dyDescent="0.15">
      <c r="B317" s="72"/>
      <c r="C317" s="48"/>
    </row>
    <row r="318" spans="2:3" ht="14" customHeight="1" x14ac:dyDescent="0.15">
      <c r="B318" s="72"/>
      <c r="C318" s="48"/>
    </row>
    <row r="319" spans="2:3" ht="14" customHeight="1" x14ac:dyDescent="0.15">
      <c r="B319" s="72"/>
      <c r="C319" s="48"/>
    </row>
    <row r="320" spans="2:3" ht="14" customHeight="1" x14ac:dyDescent="0.15">
      <c r="B320" s="72"/>
      <c r="C320" s="48"/>
    </row>
    <row r="321" spans="2:3" ht="14" customHeight="1" x14ac:dyDescent="0.15">
      <c r="B321" s="72"/>
      <c r="C321" s="48"/>
    </row>
    <row r="322" spans="2:3" ht="14" customHeight="1" x14ac:dyDescent="0.15">
      <c r="B322" s="72"/>
      <c r="C322" s="48"/>
    </row>
    <row r="323" spans="2:3" ht="14" customHeight="1" x14ac:dyDescent="0.15">
      <c r="B323" s="72"/>
      <c r="C323" s="48"/>
    </row>
    <row r="324" spans="2:3" ht="14" customHeight="1" x14ac:dyDescent="0.15">
      <c r="B324" s="72"/>
      <c r="C324" s="48"/>
    </row>
    <row r="325" spans="2:3" ht="14" customHeight="1" x14ac:dyDescent="0.15">
      <c r="B325" s="72"/>
      <c r="C325" s="48"/>
    </row>
    <row r="326" spans="2:3" ht="14" customHeight="1" x14ac:dyDescent="0.15">
      <c r="B326" s="72"/>
      <c r="C326" s="48"/>
    </row>
    <row r="327" spans="2:3" ht="14" customHeight="1" x14ac:dyDescent="0.15">
      <c r="B327" s="72"/>
      <c r="C327" s="48"/>
    </row>
    <row r="328" spans="2:3" ht="14" customHeight="1" x14ac:dyDescent="0.15">
      <c r="B328" s="72"/>
      <c r="C328" s="48"/>
    </row>
    <row r="329" spans="2:3" ht="14" customHeight="1" x14ac:dyDescent="0.15">
      <c r="B329" s="72"/>
      <c r="C329" s="48"/>
    </row>
    <row r="330" spans="2:3" ht="14" customHeight="1" x14ac:dyDescent="0.15">
      <c r="B330" s="72"/>
      <c r="C330" s="48"/>
    </row>
    <row r="331" spans="2:3" ht="14" customHeight="1" x14ac:dyDescent="0.15">
      <c r="B331" s="72"/>
      <c r="C331" s="48"/>
    </row>
    <row r="332" spans="2:3" ht="14" customHeight="1" x14ac:dyDescent="0.15">
      <c r="B332" s="72"/>
      <c r="C332" s="48"/>
    </row>
    <row r="333" spans="2:3" ht="14" customHeight="1" x14ac:dyDescent="0.15">
      <c r="B333" s="72"/>
      <c r="C333" s="48"/>
    </row>
    <row r="334" spans="2:3" ht="14" customHeight="1" x14ac:dyDescent="0.15">
      <c r="B334" s="72"/>
      <c r="C334" s="48"/>
    </row>
    <row r="335" spans="2:3" ht="14" customHeight="1" x14ac:dyDescent="0.15">
      <c r="B335" s="72"/>
      <c r="C335" s="48"/>
    </row>
    <row r="336" spans="2:3" ht="14" customHeight="1" x14ac:dyDescent="0.15">
      <c r="B336" s="72"/>
      <c r="C336" s="48"/>
    </row>
    <row r="337" spans="2:3" ht="14" customHeight="1" x14ac:dyDescent="0.15">
      <c r="B337" s="72"/>
      <c r="C337" s="48"/>
    </row>
    <row r="338" spans="2:3" ht="14" customHeight="1" x14ac:dyDescent="0.15">
      <c r="B338" s="72"/>
      <c r="C338" s="48"/>
    </row>
    <row r="339" spans="2:3" ht="14" customHeight="1" x14ac:dyDescent="0.15">
      <c r="B339" s="72"/>
      <c r="C339" s="48"/>
    </row>
    <row r="340" spans="2:3" ht="14" customHeight="1" x14ac:dyDescent="0.15">
      <c r="B340" s="72"/>
      <c r="C340" s="48"/>
    </row>
    <row r="341" spans="2:3" ht="14" customHeight="1" x14ac:dyDescent="0.15">
      <c r="B341" s="72"/>
      <c r="C341" s="48"/>
    </row>
    <row r="342" spans="2:3" ht="14" customHeight="1" x14ac:dyDescent="0.15">
      <c r="B342" s="72"/>
      <c r="C342" s="48"/>
    </row>
    <row r="343" spans="2:3" ht="14" customHeight="1" x14ac:dyDescent="0.15">
      <c r="B343" s="72"/>
      <c r="C343" s="48"/>
    </row>
    <row r="344" spans="2:3" ht="14" customHeight="1" x14ac:dyDescent="0.15">
      <c r="B344" s="72"/>
      <c r="C344" s="48"/>
    </row>
    <row r="345" spans="2:3" ht="14" customHeight="1" x14ac:dyDescent="0.15">
      <c r="B345" s="72"/>
      <c r="C345" s="48"/>
    </row>
    <row r="346" spans="2:3" ht="14" customHeight="1" x14ac:dyDescent="0.15">
      <c r="B346" s="72"/>
      <c r="C346" s="48"/>
    </row>
    <row r="347" spans="2:3" ht="14" customHeight="1" x14ac:dyDescent="0.15">
      <c r="B347" s="72"/>
      <c r="C347" s="48"/>
    </row>
    <row r="348" spans="2:3" ht="14" customHeight="1" x14ac:dyDescent="0.15">
      <c r="B348" s="72"/>
      <c r="C348" s="48"/>
    </row>
    <row r="349" spans="2:3" ht="14" customHeight="1" x14ac:dyDescent="0.15">
      <c r="B349" s="72"/>
      <c r="C349" s="48"/>
    </row>
    <row r="350" spans="2:3" ht="14" customHeight="1" x14ac:dyDescent="0.15">
      <c r="B350" s="72"/>
      <c r="C350" s="48"/>
    </row>
    <row r="351" spans="2:3" ht="14" customHeight="1" x14ac:dyDescent="0.15">
      <c r="B351" s="72"/>
      <c r="C351" s="48"/>
    </row>
    <row r="352" spans="2:3" ht="14" customHeight="1" x14ac:dyDescent="0.15">
      <c r="B352" s="72"/>
      <c r="C352" s="48"/>
    </row>
    <row r="353" spans="2:3" ht="14" customHeight="1" x14ac:dyDescent="0.15">
      <c r="B353" s="72"/>
      <c r="C353" s="48"/>
    </row>
    <row r="354" spans="2:3" ht="14" customHeight="1" x14ac:dyDescent="0.15">
      <c r="B354" s="72"/>
      <c r="C354" s="48"/>
    </row>
    <row r="355" spans="2:3" ht="14" customHeight="1" x14ac:dyDescent="0.15">
      <c r="B355" s="72"/>
      <c r="C355" s="48"/>
    </row>
    <row r="356" spans="2:3" ht="14" customHeight="1" x14ac:dyDescent="0.15">
      <c r="B356" s="72"/>
      <c r="C356" s="48"/>
    </row>
    <row r="357" spans="2:3" ht="14" customHeight="1" x14ac:dyDescent="0.15">
      <c r="B357" s="72"/>
      <c r="C357" s="48"/>
    </row>
    <row r="358" spans="2:3" ht="14" customHeight="1" x14ac:dyDescent="0.15">
      <c r="B358" s="72"/>
      <c r="C358" s="48"/>
    </row>
    <row r="359" spans="2:3" ht="14" customHeight="1" x14ac:dyDescent="0.15">
      <c r="B359" s="72"/>
      <c r="C359" s="48"/>
    </row>
    <row r="360" spans="2:3" ht="14" customHeight="1" x14ac:dyDescent="0.15">
      <c r="B360" s="72"/>
      <c r="C360" s="48"/>
    </row>
    <row r="361" spans="2:3" ht="14" customHeight="1" x14ac:dyDescent="0.15">
      <c r="B361" s="72"/>
      <c r="C361" s="48"/>
    </row>
    <row r="362" spans="2:3" ht="14" customHeight="1" x14ac:dyDescent="0.15">
      <c r="B362" s="72"/>
      <c r="C362" s="48"/>
    </row>
    <row r="363" spans="2:3" ht="14" customHeight="1" x14ac:dyDescent="0.15">
      <c r="B363" s="72"/>
      <c r="C363" s="48"/>
    </row>
    <row r="364" spans="2:3" ht="14" customHeight="1" x14ac:dyDescent="0.15">
      <c r="B364" s="72"/>
      <c r="C364" s="48"/>
    </row>
    <row r="365" spans="2:3" ht="14" customHeight="1" x14ac:dyDescent="0.15">
      <c r="B365" s="72"/>
      <c r="C365" s="48"/>
    </row>
    <row r="366" spans="2:3" ht="14" customHeight="1" x14ac:dyDescent="0.15">
      <c r="B366" s="72"/>
      <c r="C366" s="48"/>
    </row>
    <row r="367" spans="2:3" ht="14" customHeight="1" x14ac:dyDescent="0.15">
      <c r="B367" s="72"/>
      <c r="C367" s="48"/>
    </row>
    <row r="368" spans="2:3" ht="14" customHeight="1" x14ac:dyDescent="0.15">
      <c r="B368" s="72"/>
      <c r="C368" s="48"/>
    </row>
    <row r="369" spans="2:3" ht="14" customHeight="1" x14ac:dyDescent="0.15">
      <c r="B369" s="72"/>
      <c r="C369" s="48"/>
    </row>
    <row r="370" spans="2:3" ht="14" customHeight="1" x14ac:dyDescent="0.15">
      <c r="B370" s="72"/>
      <c r="C370" s="48"/>
    </row>
    <row r="371" spans="2:3" ht="14" customHeight="1" x14ac:dyDescent="0.15">
      <c r="B371" s="72"/>
      <c r="C371" s="48"/>
    </row>
    <row r="372" spans="2:3" ht="14" customHeight="1" x14ac:dyDescent="0.15">
      <c r="B372" s="72"/>
      <c r="C372" s="48"/>
    </row>
    <row r="373" spans="2:3" ht="14" customHeight="1" x14ac:dyDescent="0.15">
      <c r="B373" s="72"/>
      <c r="C373" s="48"/>
    </row>
    <row r="374" spans="2:3" ht="14" customHeight="1" x14ac:dyDescent="0.15">
      <c r="B374" s="72"/>
      <c r="C374" s="48"/>
    </row>
    <row r="375" spans="2:3" ht="14" customHeight="1" x14ac:dyDescent="0.15">
      <c r="B375" s="72"/>
      <c r="C375" s="48"/>
    </row>
    <row r="376" spans="2:3" ht="14" customHeight="1" x14ac:dyDescent="0.15">
      <c r="B376" s="72"/>
      <c r="C376" s="48"/>
    </row>
    <row r="377" spans="2:3" ht="14" customHeight="1" x14ac:dyDescent="0.15">
      <c r="B377" s="72"/>
      <c r="C377" s="48"/>
    </row>
    <row r="378" spans="2:3" ht="14" customHeight="1" x14ac:dyDescent="0.15">
      <c r="B378" s="72"/>
      <c r="C378" s="48"/>
    </row>
    <row r="379" spans="2:3" ht="14" customHeight="1" x14ac:dyDescent="0.15">
      <c r="B379" s="72"/>
      <c r="C379" s="48"/>
    </row>
    <row r="380" spans="2:3" ht="14" customHeight="1" x14ac:dyDescent="0.15">
      <c r="B380" s="72"/>
      <c r="C380" s="48"/>
    </row>
    <row r="381" spans="2:3" ht="14" customHeight="1" x14ac:dyDescent="0.15">
      <c r="B381" s="72"/>
      <c r="C381" s="48"/>
    </row>
    <row r="382" spans="2:3" ht="14" customHeight="1" x14ac:dyDescent="0.15">
      <c r="B382" s="72"/>
      <c r="C382" s="48"/>
    </row>
    <row r="383" spans="2:3" ht="14" customHeight="1" x14ac:dyDescent="0.15">
      <c r="B383" s="72"/>
      <c r="C383" s="48"/>
    </row>
    <row r="384" spans="2:3" ht="14" customHeight="1" x14ac:dyDescent="0.15">
      <c r="B384" s="72"/>
      <c r="C384" s="48"/>
    </row>
    <row r="385" spans="2:3" ht="14" customHeight="1" x14ac:dyDescent="0.15">
      <c r="B385" s="72"/>
      <c r="C385" s="48"/>
    </row>
    <row r="386" spans="2:3" ht="14" customHeight="1" x14ac:dyDescent="0.15">
      <c r="B386" s="72"/>
      <c r="C386" s="48"/>
    </row>
    <row r="387" spans="2:3" ht="14" customHeight="1" x14ac:dyDescent="0.15">
      <c r="B387" s="72"/>
      <c r="C387" s="48"/>
    </row>
    <row r="388" spans="2:3" ht="14" customHeight="1" x14ac:dyDescent="0.15">
      <c r="B388" s="72"/>
      <c r="C388" s="48"/>
    </row>
    <row r="389" spans="2:3" ht="14" customHeight="1" x14ac:dyDescent="0.15">
      <c r="B389" s="72"/>
      <c r="C389" s="48"/>
    </row>
    <row r="390" spans="2:3" ht="14" customHeight="1" x14ac:dyDescent="0.15">
      <c r="B390" s="72"/>
      <c r="C390" s="48"/>
    </row>
    <row r="391" spans="2:3" ht="14" customHeight="1" x14ac:dyDescent="0.15">
      <c r="B391" s="72"/>
      <c r="C391" s="48"/>
    </row>
    <row r="392" spans="2:3" ht="14" customHeight="1" x14ac:dyDescent="0.15">
      <c r="B392" s="72"/>
      <c r="C392" s="48"/>
    </row>
    <row r="393" spans="2:3" ht="14" customHeight="1" x14ac:dyDescent="0.15">
      <c r="B393" s="72"/>
      <c r="C393" s="48"/>
    </row>
    <row r="394" spans="2:3" ht="14" customHeight="1" x14ac:dyDescent="0.15">
      <c r="B394" s="72"/>
      <c r="C394" s="48"/>
    </row>
    <row r="395" spans="2:3" ht="14" customHeight="1" x14ac:dyDescent="0.15">
      <c r="B395" s="72"/>
      <c r="C395" s="48"/>
    </row>
    <row r="396" spans="2:3" ht="14" customHeight="1" x14ac:dyDescent="0.15">
      <c r="B396" s="72"/>
      <c r="C396" s="48"/>
    </row>
    <row r="397" spans="2:3" ht="14" customHeight="1" x14ac:dyDescent="0.15">
      <c r="B397" s="72"/>
      <c r="C397" s="48"/>
    </row>
    <row r="398" spans="2:3" ht="14" customHeight="1" x14ac:dyDescent="0.15">
      <c r="B398" s="72"/>
      <c r="C398" s="48"/>
    </row>
    <row r="399" spans="2:3" ht="14" customHeight="1" x14ac:dyDescent="0.15">
      <c r="B399" s="72"/>
      <c r="C399" s="48"/>
    </row>
    <row r="400" spans="2:3" ht="14" customHeight="1" x14ac:dyDescent="0.15">
      <c r="B400" s="72"/>
      <c r="C400" s="48"/>
    </row>
    <row r="401" spans="2:3" ht="14" customHeight="1" x14ac:dyDescent="0.15">
      <c r="B401" s="72"/>
      <c r="C401" s="48"/>
    </row>
    <row r="402" spans="2:3" ht="14" customHeight="1" x14ac:dyDescent="0.15">
      <c r="B402" s="72"/>
      <c r="C402" s="48"/>
    </row>
    <row r="403" spans="2:3" ht="14" customHeight="1" x14ac:dyDescent="0.15">
      <c r="B403" s="72"/>
      <c r="C403" s="48"/>
    </row>
    <row r="404" spans="2:3" ht="14" customHeight="1" x14ac:dyDescent="0.15">
      <c r="B404" s="72"/>
      <c r="C404" s="48"/>
    </row>
    <row r="405" spans="2:3" ht="14" customHeight="1" x14ac:dyDescent="0.15">
      <c r="B405" s="72"/>
      <c r="C405" s="48"/>
    </row>
    <row r="406" spans="2:3" ht="14" customHeight="1" x14ac:dyDescent="0.15">
      <c r="B406" s="72"/>
      <c r="C406" s="48"/>
    </row>
    <row r="407" spans="2:3" ht="14" customHeight="1" x14ac:dyDescent="0.15">
      <c r="B407" s="72"/>
      <c r="C407" s="48"/>
    </row>
    <row r="408" spans="2:3" ht="14" customHeight="1" x14ac:dyDescent="0.15">
      <c r="B408" s="72"/>
      <c r="C408" s="48"/>
    </row>
    <row r="409" spans="2:3" ht="14" customHeight="1" x14ac:dyDescent="0.15">
      <c r="B409" s="72"/>
      <c r="C409" s="48"/>
    </row>
    <row r="410" spans="2:3" ht="14" customHeight="1" x14ac:dyDescent="0.15">
      <c r="B410" s="72"/>
      <c r="C410" s="48"/>
    </row>
    <row r="411" spans="2:3" ht="14" customHeight="1" x14ac:dyDescent="0.15">
      <c r="B411" s="72"/>
      <c r="C411" s="48"/>
    </row>
    <row r="412" spans="2:3" ht="14" customHeight="1" x14ac:dyDescent="0.15">
      <c r="B412" s="72"/>
      <c r="C412" s="48"/>
    </row>
    <row r="413" spans="2:3" ht="14" customHeight="1" x14ac:dyDescent="0.15">
      <c r="B413" s="72"/>
      <c r="C413" s="48"/>
    </row>
    <row r="414" spans="2:3" ht="14" customHeight="1" x14ac:dyDescent="0.15">
      <c r="B414" s="72"/>
      <c r="C414" s="48"/>
    </row>
    <row r="415" spans="2:3" ht="14" customHeight="1" x14ac:dyDescent="0.15">
      <c r="B415" s="72"/>
      <c r="C415" s="48"/>
    </row>
    <row r="416" spans="2:3" ht="14" customHeight="1" x14ac:dyDescent="0.15">
      <c r="B416" s="72"/>
      <c r="C416" s="48"/>
    </row>
    <row r="417" spans="2:3" ht="14" customHeight="1" x14ac:dyDescent="0.15">
      <c r="B417" s="72"/>
      <c r="C417" s="48"/>
    </row>
    <row r="418" spans="2:3" ht="14" customHeight="1" x14ac:dyDescent="0.15">
      <c r="B418" s="72"/>
      <c r="C418" s="48"/>
    </row>
    <row r="419" spans="2:3" ht="14" customHeight="1" x14ac:dyDescent="0.15">
      <c r="B419" s="72"/>
      <c r="C419" s="48"/>
    </row>
    <row r="420" spans="2:3" ht="14" customHeight="1" x14ac:dyDescent="0.15">
      <c r="B420" s="72"/>
      <c r="C420" s="48"/>
    </row>
    <row r="421" spans="2:3" ht="14" customHeight="1" x14ac:dyDescent="0.15">
      <c r="B421" s="72"/>
      <c r="C421" s="48"/>
    </row>
    <row r="422" spans="2:3" ht="14" customHeight="1" x14ac:dyDescent="0.15">
      <c r="B422" s="72"/>
      <c r="C422" s="48"/>
    </row>
    <row r="423" spans="2:3" ht="14" customHeight="1" x14ac:dyDescent="0.15">
      <c r="B423" s="72"/>
      <c r="C423" s="48"/>
    </row>
    <row r="424" spans="2:3" ht="14" customHeight="1" x14ac:dyDescent="0.15">
      <c r="B424" s="72"/>
      <c r="C424" s="48"/>
    </row>
    <row r="425" spans="2:3" ht="14" customHeight="1" x14ac:dyDescent="0.15">
      <c r="B425" s="72"/>
      <c r="C425" s="48"/>
    </row>
    <row r="426" spans="2:3" ht="14" customHeight="1" x14ac:dyDescent="0.15">
      <c r="B426" s="72"/>
      <c r="C426" s="48"/>
    </row>
    <row r="427" spans="2:3" ht="14" customHeight="1" x14ac:dyDescent="0.15">
      <c r="B427" s="72"/>
      <c r="C427" s="48"/>
    </row>
    <row r="428" spans="2:3" ht="14" customHeight="1" x14ac:dyDescent="0.15">
      <c r="B428" s="72"/>
      <c r="C428" s="48"/>
    </row>
    <row r="429" spans="2:3" ht="14" customHeight="1" x14ac:dyDescent="0.15">
      <c r="B429" s="72"/>
      <c r="C429" s="48"/>
    </row>
    <row r="430" spans="2:3" ht="14" customHeight="1" x14ac:dyDescent="0.15">
      <c r="B430" s="72"/>
      <c r="C430" s="48"/>
    </row>
    <row r="431" spans="2:3" ht="14" customHeight="1" x14ac:dyDescent="0.15">
      <c r="B431" s="72"/>
      <c r="C431" s="48"/>
    </row>
    <row r="432" spans="2:3" ht="14" customHeight="1" x14ac:dyDescent="0.15">
      <c r="B432" s="72"/>
      <c r="C432" s="48"/>
    </row>
    <row r="433" spans="2:3" ht="14" customHeight="1" x14ac:dyDescent="0.15">
      <c r="B433" s="72"/>
      <c r="C433" s="48"/>
    </row>
    <row r="434" spans="2:3" ht="14" customHeight="1" x14ac:dyDescent="0.15">
      <c r="B434" s="72"/>
      <c r="C434" s="48"/>
    </row>
    <row r="435" spans="2:3" ht="14" customHeight="1" x14ac:dyDescent="0.15">
      <c r="B435" s="72"/>
      <c r="C435" s="48"/>
    </row>
    <row r="436" spans="2:3" ht="14" customHeight="1" x14ac:dyDescent="0.15">
      <c r="B436" s="72"/>
      <c r="C436" s="48"/>
    </row>
    <row r="437" spans="2:3" ht="14" customHeight="1" x14ac:dyDescent="0.15">
      <c r="B437" s="72"/>
      <c r="C437" s="48"/>
    </row>
    <row r="438" spans="2:3" ht="14" customHeight="1" x14ac:dyDescent="0.15">
      <c r="B438" s="72"/>
      <c r="C438" s="48"/>
    </row>
    <row r="439" spans="2:3" ht="14" customHeight="1" x14ac:dyDescent="0.15">
      <c r="B439" s="72"/>
      <c r="C439" s="48"/>
    </row>
    <row r="440" spans="2:3" ht="14" customHeight="1" x14ac:dyDescent="0.15">
      <c r="B440" s="72"/>
      <c r="C440" s="48"/>
    </row>
    <row r="441" spans="2:3" ht="14" customHeight="1" x14ac:dyDescent="0.15">
      <c r="B441" s="72"/>
      <c r="C441" s="48"/>
    </row>
    <row r="442" spans="2:3" ht="14" customHeight="1" x14ac:dyDescent="0.15">
      <c r="B442" s="72"/>
      <c r="C442" s="48"/>
    </row>
    <row r="443" spans="2:3" ht="14" customHeight="1" x14ac:dyDescent="0.15">
      <c r="B443" s="72"/>
      <c r="C443" s="48"/>
    </row>
    <row r="444" spans="2:3" ht="14" customHeight="1" x14ac:dyDescent="0.15">
      <c r="B444" s="72"/>
      <c r="C444" s="48"/>
    </row>
    <row r="445" spans="2:3" ht="14" customHeight="1" x14ac:dyDescent="0.15">
      <c r="B445" s="72"/>
      <c r="C445" s="48"/>
    </row>
    <row r="446" spans="2:3" ht="14" customHeight="1" x14ac:dyDescent="0.15">
      <c r="B446" s="72"/>
      <c r="C446" s="48"/>
    </row>
    <row r="447" spans="2:3" ht="14" customHeight="1" x14ac:dyDescent="0.15">
      <c r="B447" s="72"/>
      <c r="C447" s="48"/>
    </row>
    <row r="448" spans="2:3" ht="14" customHeight="1" x14ac:dyDescent="0.15">
      <c r="B448" s="72"/>
      <c r="C448" s="48"/>
    </row>
    <row r="449" spans="2:3" ht="14" customHeight="1" x14ac:dyDescent="0.15">
      <c r="B449" s="72"/>
      <c r="C449" s="48"/>
    </row>
    <row r="450" spans="2:3" ht="14" customHeight="1" x14ac:dyDescent="0.15">
      <c r="B450" s="72"/>
      <c r="C450" s="48"/>
    </row>
    <row r="451" spans="2:3" ht="14" customHeight="1" x14ac:dyDescent="0.15">
      <c r="B451" s="72"/>
      <c r="C451" s="48"/>
    </row>
    <row r="452" spans="2:3" ht="14" customHeight="1" x14ac:dyDescent="0.15">
      <c r="B452" s="72"/>
      <c r="C452" s="48"/>
    </row>
    <row r="453" spans="2:3" ht="14" customHeight="1" x14ac:dyDescent="0.15">
      <c r="B453" s="72"/>
      <c r="C453" s="48"/>
    </row>
    <row r="454" spans="2:3" ht="14" customHeight="1" x14ac:dyDescent="0.15">
      <c r="B454" s="72"/>
      <c r="C454" s="48"/>
    </row>
    <row r="455" spans="2:3" ht="14" customHeight="1" x14ac:dyDescent="0.15">
      <c r="B455" s="72"/>
      <c r="C455" s="48"/>
    </row>
    <row r="456" spans="2:3" ht="14" customHeight="1" x14ac:dyDescent="0.15">
      <c r="B456" s="72"/>
      <c r="C456" s="48"/>
    </row>
    <row r="457" spans="2:3" ht="14" customHeight="1" x14ac:dyDescent="0.15">
      <c r="B457" s="72"/>
      <c r="C457" s="48"/>
    </row>
    <row r="458" spans="2:3" ht="14" customHeight="1" x14ac:dyDescent="0.15">
      <c r="B458" s="72"/>
      <c r="C458" s="48"/>
    </row>
    <row r="459" spans="2:3" ht="14" customHeight="1" x14ac:dyDescent="0.15">
      <c r="B459" s="72"/>
      <c r="C459" s="48"/>
    </row>
    <row r="460" spans="2:3" ht="14" customHeight="1" x14ac:dyDescent="0.15">
      <c r="B460" s="72"/>
      <c r="C460" s="48"/>
    </row>
    <row r="461" spans="2:3" ht="14" customHeight="1" x14ac:dyDescent="0.15">
      <c r="B461" s="72"/>
      <c r="C461" s="48"/>
    </row>
    <row r="462" spans="2:3" ht="14" customHeight="1" x14ac:dyDescent="0.15">
      <c r="B462" s="72"/>
      <c r="C462" s="48"/>
    </row>
    <row r="463" spans="2:3" ht="14" customHeight="1" x14ac:dyDescent="0.15">
      <c r="B463" s="72"/>
      <c r="C463" s="48"/>
    </row>
    <row r="464" spans="2:3" ht="14" customHeight="1" x14ac:dyDescent="0.15">
      <c r="B464" s="72"/>
      <c r="C464" s="48"/>
    </row>
    <row r="465" spans="2:3" ht="14" customHeight="1" x14ac:dyDescent="0.15">
      <c r="B465" s="72"/>
      <c r="C465" s="48"/>
    </row>
    <row r="466" spans="2:3" ht="14" customHeight="1" x14ac:dyDescent="0.15">
      <c r="B466" s="72"/>
      <c r="C466" s="48"/>
    </row>
    <row r="467" spans="2:3" ht="14" customHeight="1" x14ac:dyDescent="0.15">
      <c r="B467" s="72"/>
      <c r="C467" s="48"/>
    </row>
    <row r="468" spans="2:3" ht="14" customHeight="1" x14ac:dyDescent="0.15">
      <c r="B468" s="72"/>
      <c r="C468" s="48"/>
    </row>
    <row r="469" spans="2:3" ht="14" customHeight="1" x14ac:dyDescent="0.15">
      <c r="B469" s="72"/>
      <c r="C469" s="48"/>
    </row>
    <row r="470" spans="2:3" ht="14" customHeight="1" x14ac:dyDescent="0.15">
      <c r="B470" s="72"/>
      <c r="C470" s="48"/>
    </row>
    <row r="471" spans="2:3" ht="14" customHeight="1" x14ac:dyDescent="0.15">
      <c r="B471" s="72"/>
      <c r="C471" s="48"/>
    </row>
    <row r="472" spans="2:3" ht="14" customHeight="1" x14ac:dyDescent="0.15">
      <c r="B472" s="72"/>
      <c r="C472" s="48"/>
    </row>
    <row r="473" spans="2:3" ht="14" customHeight="1" x14ac:dyDescent="0.15">
      <c r="B473" s="72"/>
      <c r="C473" s="48"/>
    </row>
    <row r="474" spans="2:3" ht="14" customHeight="1" x14ac:dyDescent="0.15">
      <c r="B474" s="72"/>
      <c r="C474" s="48"/>
    </row>
    <row r="475" spans="2:3" ht="14" customHeight="1" x14ac:dyDescent="0.15">
      <c r="B475" s="72"/>
      <c r="C475" s="48"/>
    </row>
    <row r="476" spans="2:3" ht="14" customHeight="1" x14ac:dyDescent="0.15">
      <c r="B476" s="72"/>
      <c r="C476" s="48"/>
    </row>
    <row r="477" spans="2:3" ht="14" customHeight="1" x14ac:dyDescent="0.15">
      <c r="B477" s="72"/>
      <c r="C477" s="48"/>
    </row>
    <row r="478" spans="2:3" ht="14" customHeight="1" x14ac:dyDescent="0.15">
      <c r="B478" s="72"/>
      <c r="C478" s="48"/>
    </row>
    <row r="479" spans="2:3" ht="14" customHeight="1" x14ac:dyDescent="0.15">
      <c r="B479" s="72"/>
      <c r="C479" s="48"/>
    </row>
    <row r="480" spans="2:3" ht="14" customHeight="1" x14ac:dyDescent="0.15">
      <c r="B480" s="72"/>
      <c r="C480" s="48"/>
    </row>
    <row r="481" spans="2:3" ht="14" customHeight="1" x14ac:dyDescent="0.15">
      <c r="B481" s="72"/>
      <c r="C481" s="48"/>
    </row>
    <row r="482" spans="2:3" ht="14" customHeight="1" x14ac:dyDescent="0.15">
      <c r="B482" s="72"/>
      <c r="C482" s="48"/>
    </row>
    <row r="483" spans="2:3" ht="14" customHeight="1" x14ac:dyDescent="0.15">
      <c r="B483" s="72"/>
      <c r="C483" s="48"/>
    </row>
    <row r="484" spans="2:3" ht="14" customHeight="1" x14ac:dyDescent="0.15">
      <c r="B484" s="72"/>
      <c r="C484" s="48"/>
    </row>
    <row r="485" spans="2:3" ht="14" customHeight="1" x14ac:dyDescent="0.15">
      <c r="B485" s="72"/>
      <c r="C485" s="48"/>
    </row>
    <row r="486" spans="2:3" ht="14" customHeight="1" x14ac:dyDescent="0.15">
      <c r="B486" s="72"/>
      <c r="C486" s="48"/>
    </row>
    <row r="487" spans="2:3" ht="14" customHeight="1" x14ac:dyDescent="0.15">
      <c r="B487" s="72"/>
      <c r="C487" s="48"/>
    </row>
    <row r="488" spans="2:3" ht="14" customHeight="1" x14ac:dyDescent="0.15">
      <c r="B488" s="72"/>
      <c r="C488" s="48"/>
    </row>
    <row r="489" spans="2:3" ht="14" customHeight="1" x14ac:dyDescent="0.15">
      <c r="B489" s="72"/>
      <c r="C489" s="48"/>
    </row>
    <row r="490" spans="2:3" ht="14" customHeight="1" x14ac:dyDescent="0.15">
      <c r="B490" s="72"/>
      <c r="C490" s="48"/>
    </row>
    <row r="491" spans="2:3" ht="14" customHeight="1" x14ac:dyDescent="0.15">
      <c r="B491" s="72"/>
      <c r="C491" s="48"/>
    </row>
    <row r="492" spans="2:3" ht="14" customHeight="1" x14ac:dyDescent="0.15">
      <c r="B492" s="72"/>
      <c r="C492" s="48"/>
    </row>
    <row r="493" spans="2:3" ht="14" customHeight="1" x14ac:dyDescent="0.15">
      <c r="B493" s="72"/>
      <c r="C493" s="48"/>
    </row>
    <row r="494" spans="2:3" ht="14" customHeight="1" x14ac:dyDescent="0.15">
      <c r="B494" s="72"/>
      <c r="C494" s="48"/>
    </row>
    <row r="495" spans="2:3" ht="14" customHeight="1" x14ac:dyDescent="0.15">
      <c r="B495" s="72"/>
      <c r="C495" s="48"/>
    </row>
    <row r="496" spans="2:3" ht="14" customHeight="1" x14ac:dyDescent="0.15">
      <c r="B496" s="72"/>
      <c r="C496" s="48"/>
    </row>
    <row r="497" spans="2:3" ht="14" customHeight="1" x14ac:dyDescent="0.15">
      <c r="B497" s="72"/>
      <c r="C497" s="48"/>
    </row>
    <row r="498" spans="2:3" ht="14" customHeight="1" x14ac:dyDescent="0.15">
      <c r="B498" s="72"/>
      <c r="C498" s="48"/>
    </row>
    <row r="499" spans="2:3" ht="14" customHeight="1" x14ac:dyDescent="0.15">
      <c r="B499" s="72"/>
      <c r="C499" s="48"/>
    </row>
    <row r="500" spans="2:3" ht="14" customHeight="1" x14ac:dyDescent="0.15">
      <c r="B500" s="72"/>
      <c r="C500" s="48"/>
    </row>
    <row r="501" spans="2:3" ht="14" customHeight="1" x14ac:dyDescent="0.15">
      <c r="B501" s="72"/>
      <c r="C501" s="48"/>
    </row>
    <row r="502" spans="2:3" ht="14" customHeight="1" x14ac:dyDescent="0.15">
      <c r="B502" s="72"/>
      <c r="C502" s="48"/>
    </row>
    <row r="503" spans="2:3" ht="14" customHeight="1" x14ac:dyDescent="0.15">
      <c r="B503" s="72"/>
      <c r="C503" s="48"/>
    </row>
    <row r="504" spans="2:3" ht="14" customHeight="1" x14ac:dyDescent="0.15">
      <c r="B504" s="72"/>
      <c r="C504" s="48"/>
    </row>
    <row r="505" spans="2:3" ht="14" customHeight="1" x14ac:dyDescent="0.15">
      <c r="B505" s="72"/>
      <c r="C505" s="48"/>
    </row>
    <row r="506" spans="2:3" ht="14" customHeight="1" x14ac:dyDescent="0.15">
      <c r="B506" s="72"/>
      <c r="C506" s="48"/>
    </row>
    <row r="507" spans="2:3" ht="14" customHeight="1" x14ac:dyDescent="0.15">
      <c r="B507" s="72"/>
      <c r="C507" s="48"/>
    </row>
    <row r="508" spans="2:3" ht="14" customHeight="1" x14ac:dyDescent="0.15">
      <c r="B508" s="72"/>
      <c r="C508" s="48"/>
    </row>
    <row r="509" spans="2:3" ht="14" customHeight="1" x14ac:dyDescent="0.15">
      <c r="B509" s="72"/>
      <c r="C509" s="48"/>
    </row>
    <row r="510" spans="2:3" ht="14" customHeight="1" x14ac:dyDescent="0.15">
      <c r="B510" s="72"/>
      <c r="C510" s="48"/>
    </row>
    <row r="511" spans="2:3" ht="14" customHeight="1" x14ac:dyDescent="0.15">
      <c r="B511" s="72"/>
      <c r="C511" s="48"/>
    </row>
    <row r="512" spans="2:3" ht="14" customHeight="1" x14ac:dyDescent="0.15">
      <c r="B512" s="72"/>
      <c r="C512" s="48"/>
    </row>
    <row r="513" spans="2:3" ht="14" customHeight="1" x14ac:dyDescent="0.15">
      <c r="B513" s="72"/>
      <c r="C513" s="48"/>
    </row>
    <row r="514" spans="2:3" ht="14" customHeight="1" x14ac:dyDescent="0.15">
      <c r="B514" s="72"/>
      <c r="C514" s="48"/>
    </row>
    <row r="515" spans="2:3" ht="14" customHeight="1" x14ac:dyDescent="0.15">
      <c r="B515" s="72"/>
      <c r="C515" s="48"/>
    </row>
    <row r="516" spans="2:3" ht="14" customHeight="1" x14ac:dyDescent="0.15">
      <c r="B516" s="72"/>
      <c r="C516" s="48"/>
    </row>
    <row r="517" spans="2:3" ht="14" customHeight="1" x14ac:dyDescent="0.15">
      <c r="B517" s="72"/>
      <c r="C517" s="48"/>
    </row>
    <row r="518" spans="2:3" ht="14" customHeight="1" x14ac:dyDescent="0.15">
      <c r="B518" s="72"/>
      <c r="C518" s="48"/>
    </row>
    <row r="519" spans="2:3" ht="14" customHeight="1" x14ac:dyDescent="0.15">
      <c r="B519" s="72"/>
      <c r="C519" s="48"/>
    </row>
    <row r="520" spans="2:3" ht="14" customHeight="1" x14ac:dyDescent="0.15">
      <c r="B520" s="72"/>
      <c r="C520" s="48"/>
    </row>
    <row r="521" spans="2:3" ht="14" customHeight="1" x14ac:dyDescent="0.15">
      <c r="B521" s="72"/>
      <c r="C521" s="48"/>
    </row>
    <row r="522" spans="2:3" ht="14" customHeight="1" x14ac:dyDescent="0.15">
      <c r="B522" s="72"/>
      <c r="C522" s="48"/>
    </row>
    <row r="523" spans="2:3" ht="14" customHeight="1" x14ac:dyDescent="0.15">
      <c r="B523" s="72"/>
      <c r="C523" s="48"/>
    </row>
    <row r="524" spans="2:3" ht="14" customHeight="1" x14ac:dyDescent="0.15">
      <c r="B524" s="72"/>
      <c r="C524" s="48"/>
    </row>
    <row r="525" spans="2:3" ht="14" customHeight="1" x14ac:dyDescent="0.15">
      <c r="B525" s="72"/>
      <c r="C525" s="48"/>
    </row>
    <row r="526" spans="2:3" ht="14" customHeight="1" x14ac:dyDescent="0.15">
      <c r="B526" s="72"/>
      <c r="C526" s="48"/>
    </row>
    <row r="527" spans="2:3" ht="14" customHeight="1" x14ac:dyDescent="0.15">
      <c r="B527" s="72"/>
      <c r="C527" s="48"/>
    </row>
    <row r="528" spans="2:3" ht="14" customHeight="1" x14ac:dyDescent="0.15">
      <c r="B528" s="72"/>
      <c r="C528" s="48"/>
    </row>
    <row r="529" spans="2:3" ht="14" customHeight="1" x14ac:dyDescent="0.15">
      <c r="B529" s="72"/>
      <c r="C529" s="48"/>
    </row>
    <row r="530" spans="2:3" ht="14" customHeight="1" x14ac:dyDescent="0.15">
      <c r="B530" s="72"/>
      <c r="C530" s="48"/>
    </row>
    <row r="531" spans="2:3" ht="14" customHeight="1" x14ac:dyDescent="0.15">
      <c r="B531" s="72"/>
      <c r="C531" s="48"/>
    </row>
    <row r="532" spans="2:3" ht="14" customHeight="1" x14ac:dyDescent="0.15">
      <c r="B532" s="72"/>
      <c r="C532" s="48"/>
    </row>
    <row r="533" spans="2:3" ht="14" customHeight="1" x14ac:dyDescent="0.15">
      <c r="B533" s="72"/>
      <c r="C533" s="48"/>
    </row>
    <row r="534" spans="2:3" ht="14" customHeight="1" x14ac:dyDescent="0.15">
      <c r="B534" s="72"/>
      <c r="C534" s="48"/>
    </row>
    <row r="535" spans="2:3" ht="14" customHeight="1" x14ac:dyDescent="0.15">
      <c r="B535" s="72"/>
      <c r="C535" s="48"/>
    </row>
    <row r="536" spans="2:3" ht="14" customHeight="1" x14ac:dyDescent="0.15">
      <c r="B536" s="72"/>
      <c r="C536" s="48"/>
    </row>
    <row r="537" spans="2:3" ht="14" customHeight="1" x14ac:dyDescent="0.15">
      <c r="B537" s="72"/>
      <c r="C537" s="48"/>
    </row>
    <row r="538" spans="2:3" ht="14" customHeight="1" x14ac:dyDescent="0.15">
      <c r="B538" s="72"/>
      <c r="C538" s="48"/>
    </row>
    <row r="539" spans="2:3" ht="14" customHeight="1" x14ac:dyDescent="0.15">
      <c r="B539" s="72"/>
      <c r="C539" s="48"/>
    </row>
    <row r="540" spans="2:3" ht="14" customHeight="1" x14ac:dyDescent="0.15">
      <c r="B540" s="72"/>
      <c r="C540" s="48"/>
    </row>
    <row r="541" spans="2:3" ht="14" customHeight="1" x14ac:dyDescent="0.15">
      <c r="B541" s="72"/>
      <c r="C541" s="48"/>
    </row>
    <row r="542" spans="2:3" ht="14" customHeight="1" x14ac:dyDescent="0.15">
      <c r="B542" s="72"/>
      <c r="C542" s="48"/>
    </row>
    <row r="543" spans="2:3" ht="14" customHeight="1" x14ac:dyDescent="0.15">
      <c r="B543" s="72"/>
      <c r="C543" s="48"/>
    </row>
    <row r="544" spans="2:3" ht="14" customHeight="1" x14ac:dyDescent="0.15">
      <c r="B544" s="72"/>
      <c r="C544" s="48"/>
    </row>
    <row r="545" spans="2:3" ht="14" customHeight="1" x14ac:dyDescent="0.15">
      <c r="B545" s="72"/>
      <c r="C545" s="48"/>
    </row>
    <row r="546" spans="2:3" ht="14" customHeight="1" x14ac:dyDescent="0.15">
      <c r="B546" s="72"/>
      <c r="C546" s="48"/>
    </row>
    <row r="547" spans="2:3" ht="14" customHeight="1" x14ac:dyDescent="0.15">
      <c r="B547" s="72"/>
      <c r="C547" s="48"/>
    </row>
    <row r="548" spans="2:3" ht="14" customHeight="1" x14ac:dyDescent="0.15">
      <c r="B548" s="72"/>
      <c r="C548" s="48"/>
    </row>
    <row r="549" spans="2:3" ht="14" customHeight="1" x14ac:dyDescent="0.15">
      <c r="B549" s="72"/>
      <c r="C549" s="48"/>
    </row>
    <row r="550" spans="2:3" ht="14" customHeight="1" x14ac:dyDescent="0.15">
      <c r="B550" s="72"/>
      <c r="C550" s="48"/>
    </row>
    <row r="551" spans="2:3" ht="14" customHeight="1" x14ac:dyDescent="0.15">
      <c r="B551" s="72"/>
      <c r="C551" s="48"/>
    </row>
    <row r="552" spans="2:3" ht="14" customHeight="1" x14ac:dyDescent="0.15">
      <c r="B552" s="72"/>
      <c r="C552" s="48"/>
    </row>
    <row r="553" spans="2:3" ht="14" customHeight="1" x14ac:dyDescent="0.15">
      <c r="B553" s="72"/>
      <c r="C553" s="48"/>
    </row>
    <row r="554" spans="2:3" ht="14" customHeight="1" x14ac:dyDescent="0.15">
      <c r="B554" s="72"/>
      <c r="C554" s="48"/>
    </row>
    <row r="555" spans="2:3" ht="14" customHeight="1" x14ac:dyDescent="0.15">
      <c r="B555" s="72"/>
      <c r="C555" s="48"/>
    </row>
    <row r="556" spans="2:3" ht="14" customHeight="1" x14ac:dyDescent="0.15">
      <c r="B556" s="72"/>
      <c r="C556" s="48"/>
    </row>
    <row r="557" spans="2:3" ht="14" customHeight="1" x14ac:dyDescent="0.15">
      <c r="B557" s="72"/>
      <c r="C557" s="48"/>
    </row>
    <row r="558" spans="2:3" ht="14" customHeight="1" x14ac:dyDescent="0.15">
      <c r="B558" s="72"/>
      <c r="C558" s="48"/>
    </row>
    <row r="559" spans="2:3" ht="14" customHeight="1" x14ac:dyDescent="0.15">
      <c r="B559" s="72"/>
      <c r="C559" s="48"/>
    </row>
    <row r="560" spans="2:3" ht="14" customHeight="1" x14ac:dyDescent="0.15">
      <c r="B560" s="72"/>
      <c r="C560" s="48"/>
    </row>
    <row r="561" spans="2:3" ht="14" customHeight="1" x14ac:dyDescent="0.15">
      <c r="B561" s="72"/>
      <c r="C561" s="48"/>
    </row>
    <row r="562" spans="2:3" ht="14" customHeight="1" x14ac:dyDescent="0.15">
      <c r="B562" s="72"/>
      <c r="C562" s="48"/>
    </row>
    <row r="563" spans="2:3" ht="14" customHeight="1" x14ac:dyDescent="0.15">
      <c r="B563" s="72"/>
      <c r="C563" s="48"/>
    </row>
    <row r="564" spans="2:3" ht="14" customHeight="1" x14ac:dyDescent="0.15">
      <c r="B564" s="72"/>
      <c r="C564" s="48"/>
    </row>
    <row r="565" spans="2:3" ht="14" customHeight="1" x14ac:dyDescent="0.15">
      <c r="B565" s="72"/>
      <c r="C565" s="48"/>
    </row>
    <row r="566" spans="2:3" ht="14" customHeight="1" x14ac:dyDescent="0.15">
      <c r="B566" s="72"/>
      <c r="C566" s="48"/>
    </row>
    <row r="567" spans="2:3" ht="14" customHeight="1" x14ac:dyDescent="0.15">
      <c r="B567" s="72"/>
      <c r="C567" s="48"/>
    </row>
    <row r="568" spans="2:3" ht="14" customHeight="1" x14ac:dyDescent="0.15">
      <c r="B568" s="72"/>
      <c r="C568" s="48"/>
    </row>
    <row r="569" spans="2:3" ht="14" customHeight="1" x14ac:dyDescent="0.15">
      <c r="B569" s="72"/>
      <c r="C569" s="48"/>
    </row>
    <row r="570" spans="2:3" ht="14" customHeight="1" x14ac:dyDescent="0.15">
      <c r="B570" s="72"/>
      <c r="C570" s="48"/>
    </row>
    <row r="571" spans="2:3" ht="14" customHeight="1" x14ac:dyDescent="0.15">
      <c r="B571" s="72"/>
      <c r="C571" s="48"/>
    </row>
    <row r="572" spans="2:3" ht="14" customHeight="1" x14ac:dyDescent="0.15">
      <c r="B572" s="72"/>
      <c r="C572" s="48"/>
    </row>
    <row r="573" spans="2:3" ht="14" customHeight="1" x14ac:dyDescent="0.15">
      <c r="B573" s="72"/>
      <c r="C573" s="48"/>
    </row>
    <row r="574" spans="2:3" ht="14" customHeight="1" x14ac:dyDescent="0.15">
      <c r="B574" s="72"/>
      <c r="C574" s="48"/>
    </row>
    <row r="575" spans="2:3" ht="14" customHeight="1" x14ac:dyDescent="0.15">
      <c r="B575" s="72"/>
      <c r="C575" s="48"/>
    </row>
    <row r="576" spans="2:3" ht="14" customHeight="1" x14ac:dyDescent="0.15">
      <c r="B576" s="72"/>
      <c r="C576" s="48"/>
    </row>
    <row r="577" spans="2:3" ht="14" customHeight="1" x14ac:dyDescent="0.15">
      <c r="B577" s="72"/>
      <c r="C577" s="48"/>
    </row>
    <row r="578" spans="2:3" ht="14" customHeight="1" x14ac:dyDescent="0.15">
      <c r="B578" s="72"/>
      <c r="C578" s="48"/>
    </row>
    <row r="579" spans="2:3" ht="14" customHeight="1" x14ac:dyDescent="0.15">
      <c r="B579" s="72"/>
      <c r="C579" s="48"/>
    </row>
    <row r="580" spans="2:3" ht="14" customHeight="1" x14ac:dyDescent="0.15">
      <c r="B580" s="72"/>
      <c r="C580" s="48"/>
    </row>
    <row r="581" spans="2:3" ht="14" customHeight="1" x14ac:dyDescent="0.15">
      <c r="B581" s="72"/>
      <c r="C581" s="48"/>
    </row>
    <row r="582" spans="2:3" ht="14" customHeight="1" x14ac:dyDescent="0.15">
      <c r="B582" s="72"/>
      <c r="C582" s="48"/>
    </row>
    <row r="583" spans="2:3" ht="14" customHeight="1" x14ac:dyDescent="0.15">
      <c r="B583" s="72"/>
      <c r="C583" s="48"/>
    </row>
    <row r="584" spans="2:3" ht="14" customHeight="1" x14ac:dyDescent="0.15">
      <c r="B584" s="72"/>
      <c r="C584" s="48"/>
    </row>
    <row r="585" spans="2:3" ht="14" customHeight="1" x14ac:dyDescent="0.15">
      <c r="B585" s="72"/>
      <c r="C585" s="48"/>
    </row>
    <row r="586" spans="2:3" ht="14" customHeight="1" x14ac:dyDescent="0.15">
      <c r="B586" s="72"/>
      <c r="C586" s="48"/>
    </row>
    <row r="587" spans="2:3" ht="14" customHeight="1" x14ac:dyDescent="0.15">
      <c r="B587" s="72"/>
      <c r="C587" s="48"/>
    </row>
    <row r="588" spans="2:3" ht="14" customHeight="1" x14ac:dyDescent="0.15">
      <c r="B588" s="72"/>
      <c r="C588" s="48"/>
    </row>
    <row r="589" spans="2:3" ht="14" customHeight="1" x14ac:dyDescent="0.15">
      <c r="B589" s="72"/>
      <c r="C589" s="48"/>
    </row>
    <row r="590" spans="2:3" ht="14" customHeight="1" x14ac:dyDescent="0.15">
      <c r="B590" s="72"/>
      <c r="C590" s="48"/>
    </row>
    <row r="591" spans="2:3" ht="14" customHeight="1" x14ac:dyDescent="0.15">
      <c r="B591" s="72"/>
      <c r="C591" s="48"/>
    </row>
    <row r="592" spans="2:3" ht="14" customHeight="1" x14ac:dyDescent="0.15">
      <c r="B592" s="72"/>
      <c r="C592" s="48"/>
    </row>
    <row r="593" spans="2:3" ht="14" customHeight="1" x14ac:dyDescent="0.15">
      <c r="B593" s="72"/>
      <c r="C593" s="48"/>
    </row>
    <row r="594" spans="2:3" ht="14" customHeight="1" x14ac:dyDescent="0.15">
      <c r="B594" s="72"/>
      <c r="C594" s="48"/>
    </row>
    <row r="595" spans="2:3" ht="14" customHeight="1" x14ac:dyDescent="0.15">
      <c r="B595" s="72"/>
      <c r="C595" s="48"/>
    </row>
    <row r="596" spans="2:3" ht="14" customHeight="1" x14ac:dyDescent="0.15">
      <c r="B596" s="72"/>
      <c r="C596" s="48"/>
    </row>
    <row r="597" spans="2:3" ht="14" customHeight="1" x14ac:dyDescent="0.15">
      <c r="B597" s="72"/>
      <c r="C597" s="48"/>
    </row>
    <row r="598" spans="2:3" ht="14" customHeight="1" x14ac:dyDescent="0.15">
      <c r="B598" s="72"/>
      <c r="C598" s="48"/>
    </row>
    <row r="599" spans="2:3" ht="14" customHeight="1" x14ac:dyDescent="0.15">
      <c r="B599" s="72"/>
      <c r="C599" s="48"/>
    </row>
    <row r="600" spans="2:3" ht="14" customHeight="1" x14ac:dyDescent="0.15">
      <c r="B600" s="72"/>
      <c r="C600" s="48"/>
    </row>
    <row r="601" spans="2:3" ht="14" customHeight="1" x14ac:dyDescent="0.15">
      <c r="B601" s="72"/>
      <c r="C601" s="48"/>
    </row>
    <row r="602" spans="2:3" ht="14" customHeight="1" x14ac:dyDescent="0.15">
      <c r="B602" s="72"/>
      <c r="C602" s="48"/>
    </row>
    <row r="603" spans="2:3" ht="14" customHeight="1" x14ac:dyDescent="0.15">
      <c r="B603" s="72"/>
      <c r="C603" s="48"/>
    </row>
    <row r="604" spans="2:3" ht="14" customHeight="1" x14ac:dyDescent="0.15">
      <c r="B604" s="72"/>
      <c r="C604" s="48"/>
    </row>
    <row r="605" spans="2:3" ht="14" customHeight="1" x14ac:dyDescent="0.15">
      <c r="B605" s="72"/>
      <c r="C605" s="48"/>
    </row>
    <row r="606" spans="2:3" ht="14" customHeight="1" x14ac:dyDescent="0.15">
      <c r="B606" s="72"/>
      <c r="C606" s="48"/>
    </row>
    <row r="607" spans="2:3" ht="14" customHeight="1" x14ac:dyDescent="0.15">
      <c r="B607" s="72"/>
      <c r="C607" s="48"/>
    </row>
    <row r="608" spans="2:3" ht="14" customHeight="1" x14ac:dyDescent="0.15">
      <c r="B608" s="72"/>
      <c r="C608" s="48"/>
    </row>
    <row r="609" spans="2:3" ht="14" customHeight="1" x14ac:dyDescent="0.15">
      <c r="B609" s="72"/>
      <c r="C609" s="48"/>
    </row>
    <row r="610" spans="2:3" ht="14" customHeight="1" x14ac:dyDescent="0.15">
      <c r="B610" s="72"/>
      <c r="C610" s="48"/>
    </row>
    <row r="611" spans="2:3" ht="14" customHeight="1" x14ac:dyDescent="0.15">
      <c r="B611" s="72"/>
      <c r="C611" s="48"/>
    </row>
    <row r="612" spans="2:3" ht="14" customHeight="1" x14ac:dyDescent="0.15">
      <c r="B612" s="72"/>
      <c r="C612" s="48"/>
    </row>
    <row r="613" spans="2:3" ht="14" customHeight="1" x14ac:dyDescent="0.15">
      <c r="B613" s="72"/>
      <c r="C613" s="48"/>
    </row>
    <row r="614" spans="2:3" ht="14" customHeight="1" x14ac:dyDescent="0.15">
      <c r="B614" s="72"/>
      <c r="C614" s="48"/>
    </row>
    <row r="615" spans="2:3" ht="14" customHeight="1" x14ac:dyDescent="0.15">
      <c r="B615" s="72"/>
      <c r="C615" s="48"/>
    </row>
    <row r="616" spans="2:3" ht="14" customHeight="1" x14ac:dyDescent="0.15">
      <c r="B616" s="72"/>
      <c r="C616" s="48"/>
    </row>
    <row r="617" spans="2:3" ht="14" customHeight="1" x14ac:dyDescent="0.15">
      <c r="B617" s="72"/>
      <c r="C617" s="48"/>
    </row>
    <row r="618" spans="2:3" ht="14" customHeight="1" x14ac:dyDescent="0.15">
      <c r="B618" s="72"/>
      <c r="C618" s="48"/>
    </row>
    <row r="619" spans="2:3" ht="14" customHeight="1" x14ac:dyDescent="0.15">
      <c r="B619" s="72"/>
      <c r="C619" s="48"/>
    </row>
    <row r="620" spans="2:3" ht="14" customHeight="1" x14ac:dyDescent="0.15">
      <c r="B620" s="72"/>
      <c r="C620" s="48"/>
    </row>
    <row r="621" spans="2:3" ht="14" customHeight="1" x14ac:dyDescent="0.15">
      <c r="B621" s="72"/>
      <c r="C621" s="48"/>
    </row>
    <row r="622" spans="2:3" ht="14" customHeight="1" x14ac:dyDescent="0.15">
      <c r="B622" s="72"/>
      <c r="C622" s="48"/>
    </row>
    <row r="623" spans="2:3" ht="14" customHeight="1" x14ac:dyDescent="0.15">
      <c r="B623" s="72"/>
      <c r="C623" s="48"/>
    </row>
    <row r="624" spans="2:3" ht="14" customHeight="1" x14ac:dyDescent="0.15">
      <c r="B624" s="72"/>
      <c r="C624" s="48"/>
    </row>
    <row r="625" spans="2:3" ht="14" customHeight="1" x14ac:dyDescent="0.15">
      <c r="B625" s="72"/>
      <c r="C625" s="48"/>
    </row>
    <row r="626" spans="2:3" ht="14" customHeight="1" x14ac:dyDescent="0.15">
      <c r="B626" s="72"/>
      <c r="C626" s="48"/>
    </row>
    <row r="627" spans="2:3" ht="14" customHeight="1" x14ac:dyDescent="0.15">
      <c r="B627" s="72"/>
      <c r="C627" s="48"/>
    </row>
    <row r="628" spans="2:3" ht="14" customHeight="1" x14ac:dyDescent="0.15">
      <c r="B628" s="72"/>
      <c r="C628" s="48"/>
    </row>
    <row r="629" spans="2:3" ht="14" customHeight="1" x14ac:dyDescent="0.15">
      <c r="B629" s="72"/>
      <c r="C629" s="48"/>
    </row>
    <row r="630" spans="2:3" ht="14" customHeight="1" x14ac:dyDescent="0.15">
      <c r="B630" s="72"/>
      <c r="C630" s="48"/>
    </row>
    <row r="631" spans="2:3" ht="14" customHeight="1" x14ac:dyDescent="0.15">
      <c r="B631" s="72"/>
      <c r="C631" s="48"/>
    </row>
    <row r="632" spans="2:3" ht="14" customHeight="1" x14ac:dyDescent="0.15">
      <c r="B632" s="72"/>
      <c r="C632" s="48"/>
    </row>
    <row r="633" spans="2:3" ht="14" customHeight="1" x14ac:dyDescent="0.15">
      <c r="B633" s="72"/>
      <c r="C633" s="48"/>
    </row>
    <row r="634" spans="2:3" ht="14" customHeight="1" x14ac:dyDescent="0.15">
      <c r="B634" s="72"/>
      <c r="C634" s="48"/>
    </row>
    <row r="635" spans="2:3" ht="14" customHeight="1" x14ac:dyDescent="0.15">
      <c r="B635" s="72"/>
      <c r="C635" s="48"/>
    </row>
    <row r="636" spans="2:3" ht="14" customHeight="1" x14ac:dyDescent="0.15">
      <c r="B636" s="72"/>
      <c r="C636" s="48"/>
    </row>
    <row r="637" spans="2:3" ht="14" customHeight="1" x14ac:dyDescent="0.15">
      <c r="B637" s="72"/>
      <c r="C637" s="48"/>
    </row>
    <row r="638" spans="2:3" ht="14" customHeight="1" x14ac:dyDescent="0.15">
      <c r="B638" s="72"/>
      <c r="C638" s="48"/>
    </row>
    <row r="639" spans="2:3" ht="14" customHeight="1" x14ac:dyDescent="0.15">
      <c r="B639" s="72"/>
      <c r="C639" s="48"/>
    </row>
    <row r="640" spans="2:3" ht="14" customHeight="1" x14ac:dyDescent="0.15">
      <c r="B640" s="72"/>
      <c r="C640" s="48"/>
    </row>
    <row r="641" spans="2:3" ht="14" customHeight="1" x14ac:dyDescent="0.15">
      <c r="B641" s="72"/>
      <c r="C641" s="48"/>
    </row>
    <row r="642" spans="2:3" ht="14" customHeight="1" x14ac:dyDescent="0.15">
      <c r="B642" s="72"/>
      <c r="C642" s="48"/>
    </row>
    <row r="643" spans="2:3" ht="14" customHeight="1" x14ac:dyDescent="0.15">
      <c r="B643" s="72"/>
      <c r="C643" s="48"/>
    </row>
    <row r="644" spans="2:3" ht="14" customHeight="1" x14ac:dyDescent="0.15">
      <c r="B644" s="72"/>
      <c r="C644" s="48"/>
    </row>
    <row r="645" spans="2:3" ht="14" customHeight="1" x14ac:dyDescent="0.15">
      <c r="B645" s="72"/>
      <c r="C645" s="48"/>
    </row>
    <row r="646" spans="2:3" ht="14" customHeight="1" x14ac:dyDescent="0.15">
      <c r="B646" s="72"/>
      <c r="C646" s="48"/>
    </row>
    <row r="647" spans="2:3" ht="14" customHeight="1" x14ac:dyDescent="0.15">
      <c r="B647" s="72"/>
      <c r="C647" s="48"/>
    </row>
    <row r="648" spans="2:3" ht="14" customHeight="1" x14ac:dyDescent="0.15">
      <c r="B648" s="72"/>
      <c r="C648" s="48"/>
    </row>
    <row r="649" spans="2:3" ht="14" customHeight="1" x14ac:dyDescent="0.15">
      <c r="B649" s="72"/>
      <c r="C649" s="48"/>
    </row>
    <row r="650" spans="2:3" ht="14" customHeight="1" x14ac:dyDescent="0.15">
      <c r="B650" s="72"/>
      <c r="C650" s="48"/>
    </row>
    <row r="651" spans="2:3" ht="14" customHeight="1" x14ac:dyDescent="0.15">
      <c r="B651" s="72"/>
      <c r="C651" s="48"/>
    </row>
    <row r="652" spans="2:3" ht="14" customHeight="1" x14ac:dyDescent="0.15">
      <c r="B652" s="72"/>
      <c r="C652" s="48"/>
    </row>
    <row r="653" spans="2:3" ht="14" customHeight="1" x14ac:dyDescent="0.15">
      <c r="B653" s="72"/>
      <c r="C653" s="48"/>
    </row>
    <row r="654" spans="2:3" ht="14" customHeight="1" x14ac:dyDescent="0.15">
      <c r="B654" s="72"/>
      <c r="C654" s="48"/>
    </row>
    <row r="655" spans="2:3" ht="14" customHeight="1" x14ac:dyDescent="0.15">
      <c r="B655" s="72"/>
      <c r="C655" s="48"/>
    </row>
    <row r="656" spans="2:3" ht="14" customHeight="1" x14ac:dyDescent="0.15">
      <c r="B656" s="72"/>
      <c r="C656" s="48"/>
    </row>
    <row r="657" spans="2:3" ht="14" customHeight="1" x14ac:dyDescent="0.15">
      <c r="B657" s="72"/>
      <c r="C657" s="48"/>
    </row>
    <row r="658" spans="2:3" ht="14" customHeight="1" x14ac:dyDescent="0.15">
      <c r="B658" s="72"/>
      <c r="C658" s="48"/>
    </row>
    <row r="659" spans="2:3" ht="14" customHeight="1" x14ac:dyDescent="0.15">
      <c r="B659" s="72"/>
      <c r="C659" s="48"/>
    </row>
    <row r="660" spans="2:3" ht="14" customHeight="1" x14ac:dyDescent="0.15">
      <c r="B660" s="72"/>
      <c r="C660" s="48"/>
    </row>
    <row r="661" spans="2:3" ht="14" customHeight="1" x14ac:dyDescent="0.15">
      <c r="B661" s="72"/>
      <c r="C661" s="48"/>
    </row>
    <row r="662" spans="2:3" ht="14" customHeight="1" x14ac:dyDescent="0.15">
      <c r="B662" s="72"/>
      <c r="C662" s="48"/>
    </row>
    <row r="663" spans="2:3" ht="14" customHeight="1" x14ac:dyDescent="0.15">
      <c r="B663" s="72"/>
      <c r="C663" s="48"/>
    </row>
    <row r="664" spans="2:3" ht="14" customHeight="1" x14ac:dyDescent="0.15">
      <c r="B664" s="72"/>
      <c r="C664" s="48"/>
    </row>
    <row r="665" spans="2:3" ht="14" customHeight="1" x14ac:dyDescent="0.15">
      <c r="B665" s="72"/>
      <c r="C665" s="48"/>
    </row>
    <row r="666" spans="2:3" ht="14" customHeight="1" x14ac:dyDescent="0.15">
      <c r="B666" s="72"/>
      <c r="C666" s="48"/>
    </row>
    <row r="667" spans="2:3" ht="14" customHeight="1" x14ac:dyDescent="0.15">
      <c r="B667" s="72"/>
      <c r="C667" s="48"/>
    </row>
    <row r="668" spans="2:3" ht="14" customHeight="1" x14ac:dyDescent="0.15">
      <c r="B668" s="72"/>
      <c r="C668" s="48"/>
    </row>
    <row r="669" spans="2:3" ht="14" customHeight="1" x14ac:dyDescent="0.15">
      <c r="B669" s="72"/>
      <c r="C669" s="48"/>
    </row>
    <row r="670" spans="2:3" ht="14" customHeight="1" x14ac:dyDescent="0.15">
      <c r="B670" s="72"/>
      <c r="C670" s="48"/>
    </row>
    <row r="671" spans="2:3" ht="14" customHeight="1" x14ac:dyDescent="0.15">
      <c r="B671" s="72"/>
      <c r="C671" s="48"/>
    </row>
    <row r="672" spans="2:3" ht="14" customHeight="1" x14ac:dyDescent="0.15">
      <c r="B672" s="72"/>
      <c r="C672" s="48"/>
    </row>
    <row r="673" spans="2:3" ht="14" customHeight="1" x14ac:dyDescent="0.15">
      <c r="B673" s="72"/>
      <c r="C673" s="48"/>
    </row>
    <row r="674" spans="2:3" ht="14" customHeight="1" x14ac:dyDescent="0.15">
      <c r="B674" s="72"/>
      <c r="C674" s="48"/>
    </row>
    <row r="675" spans="2:3" ht="14" customHeight="1" x14ac:dyDescent="0.15">
      <c r="B675" s="72"/>
      <c r="C675" s="48"/>
    </row>
    <row r="676" spans="2:3" ht="14" customHeight="1" x14ac:dyDescent="0.15">
      <c r="B676" s="72"/>
      <c r="C676" s="48"/>
    </row>
    <row r="677" spans="2:3" ht="14" customHeight="1" x14ac:dyDescent="0.15">
      <c r="B677" s="72"/>
      <c r="C677" s="48"/>
    </row>
    <row r="678" spans="2:3" ht="14" customHeight="1" x14ac:dyDescent="0.15">
      <c r="B678" s="72"/>
      <c r="C678" s="48"/>
    </row>
    <row r="679" spans="2:3" ht="14" customHeight="1" x14ac:dyDescent="0.15">
      <c r="B679" s="72"/>
      <c r="C679" s="48"/>
    </row>
    <row r="680" spans="2:3" ht="14" customHeight="1" x14ac:dyDescent="0.15">
      <c r="B680" s="72"/>
      <c r="C680" s="48"/>
    </row>
    <row r="681" spans="2:3" ht="14" customHeight="1" x14ac:dyDescent="0.15">
      <c r="B681" s="72"/>
      <c r="C681" s="48"/>
    </row>
    <row r="682" spans="2:3" ht="14" customHeight="1" x14ac:dyDescent="0.15">
      <c r="B682" s="72"/>
      <c r="C682" s="48"/>
    </row>
    <row r="683" spans="2:3" ht="14" customHeight="1" x14ac:dyDescent="0.15">
      <c r="B683" s="72"/>
      <c r="C683" s="48"/>
    </row>
    <row r="684" spans="2:3" ht="14" customHeight="1" x14ac:dyDescent="0.15">
      <c r="B684" s="72"/>
      <c r="C684" s="48"/>
    </row>
    <row r="685" spans="2:3" ht="14" customHeight="1" x14ac:dyDescent="0.15">
      <c r="B685" s="72"/>
      <c r="C685" s="48"/>
    </row>
    <row r="686" spans="2:3" ht="14" customHeight="1" x14ac:dyDescent="0.15">
      <c r="B686" s="72"/>
      <c r="C686" s="48"/>
    </row>
    <row r="687" spans="2:3" ht="14" customHeight="1" x14ac:dyDescent="0.15">
      <c r="B687" s="72"/>
      <c r="C687" s="48"/>
    </row>
    <row r="688" spans="2:3" ht="14" customHeight="1" x14ac:dyDescent="0.15">
      <c r="B688" s="72"/>
      <c r="C688" s="48"/>
    </row>
    <row r="689" spans="2:3" ht="14" customHeight="1" x14ac:dyDescent="0.15">
      <c r="B689" s="72"/>
      <c r="C689" s="48"/>
    </row>
    <row r="690" spans="2:3" ht="14" customHeight="1" x14ac:dyDescent="0.15">
      <c r="B690" s="72"/>
      <c r="C690" s="48"/>
    </row>
    <row r="691" spans="2:3" ht="14" customHeight="1" x14ac:dyDescent="0.15">
      <c r="B691" s="72"/>
      <c r="C691" s="48"/>
    </row>
    <row r="692" spans="2:3" ht="14" customHeight="1" x14ac:dyDescent="0.15">
      <c r="B692" s="72"/>
      <c r="C692" s="48"/>
    </row>
    <row r="693" spans="2:3" ht="14" customHeight="1" x14ac:dyDescent="0.15">
      <c r="B693" s="72"/>
      <c r="C693" s="48"/>
    </row>
    <row r="694" spans="2:3" ht="14" customHeight="1" x14ac:dyDescent="0.15">
      <c r="B694" s="72"/>
      <c r="C694" s="48"/>
    </row>
    <row r="695" spans="2:3" ht="14" customHeight="1" x14ac:dyDescent="0.15">
      <c r="B695" s="72"/>
      <c r="C695" s="48"/>
    </row>
    <row r="696" spans="2:3" ht="14" customHeight="1" x14ac:dyDescent="0.15">
      <c r="B696" s="72"/>
      <c r="C696" s="48"/>
    </row>
    <row r="697" spans="2:3" ht="14" customHeight="1" x14ac:dyDescent="0.15">
      <c r="B697" s="72"/>
      <c r="C697" s="48"/>
    </row>
    <row r="698" spans="2:3" ht="14" customHeight="1" x14ac:dyDescent="0.15">
      <c r="B698" s="72"/>
      <c r="C698" s="48"/>
    </row>
    <row r="699" spans="2:3" ht="14" customHeight="1" x14ac:dyDescent="0.15">
      <c r="B699" s="72"/>
      <c r="C699" s="48"/>
    </row>
    <row r="700" spans="2:3" ht="14" customHeight="1" x14ac:dyDescent="0.15">
      <c r="B700" s="72"/>
      <c r="C700" s="48"/>
    </row>
    <row r="701" spans="2:3" ht="14" customHeight="1" x14ac:dyDescent="0.15">
      <c r="B701" s="72"/>
      <c r="C701" s="48"/>
    </row>
    <row r="702" spans="2:3" ht="14" customHeight="1" x14ac:dyDescent="0.15">
      <c r="B702" s="72"/>
      <c r="C702" s="48"/>
    </row>
    <row r="703" spans="2:3" ht="14" customHeight="1" x14ac:dyDescent="0.15">
      <c r="B703" s="72"/>
      <c r="C703" s="48"/>
    </row>
    <row r="704" spans="2:3" ht="14" customHeight="1" x14ac:dyDescent="0.15">
      <c r="B704" s="72"/>
      <c r="C704" s="48"/>
    </row>
    <row r="705" spans="2:3" ht="14" customHeight="1" x14ac:dyDescent="0.15">
      <c r="B705" s="72"/>
      <c r="C705" s="48"/>
    </row>
    <row r="706" spans="2:3" ht="14" customHeight="1" x14ac:dyDescent="0.15">
      <c r="B706" s="72"/>
      <c r="C706" s="48"/>
    </row>
    <row r="707" spans="2:3" ht="14" customHeight="1" x14ac:dyDescent="0.15">
      <c r="B707" s="72"/>
      <c r="C707" s="48"/>
    </row>
    <row r="708" spans="2:3" ht="14" customHeight="1" x14ac:dyDescent="0.15">
      <c r="B708" s="72"/>
      <c r="C708" s="48"/>
    </row>
    <row r="709" spans="2:3" ht="14" customHeight="1" x14ac:dyDescent="0.15">
      <c r="B709" s="72"/>
      <c r="C709" s="48"/>
    </row>
    <row r="710" spans="2:3" ht="14" customHeight="1" x14ac:dyDescent="0.15">
      <c r="B710" s="72"/>
      <c r="C710" s="48"/>
    </row>
    <row r="711" spans="2:3" ht="14" customHeight="1" x14ac:dyDescent="0.15">
      <c r="B711" s="72"/>
      <c r="C711" s="48"/>
    </row>
    <row r="712" spans="2:3" ht="14" customHeight="1" x14ac:dyDescent="0.15">
      <c r="B712" s="72"/>
      <c r="C712" s="48"/>
    </row>
    <row r="713" spans="2:3" ht="14" customHeight="1" x14ac:dyDescent="0.15">
      <c r="B713" s="72"/>
      <c r="C713" s="48"/>
    </row>
    <row r="714" spans="2:3" ht="14" customHeight="1" x14ac:dyDescent="0.15">
      <c r="B714" s="72"/>
      <c r="C714" s="48"/>
    </row>
    <row r="715" spans="2:3" ht="14" customHeight="1" x14ac:dyDescent="0.15">
      <c r="B715" s="72"/>
      <c r="C715" s="48"/>
    </row>
    <row r="716" spans="2:3" ht="14" customHeight="1" x14ac:dyDescent="0.15">
      <c r="B716" s="72"/>
      <c r="C716" s="48"/>
    </row>
    <row r="717" spans="2:3" ht="14" customHeight="1" x14ac:dyDescent="0.15">
      <c r="B717" s="72"/>
      <c r="C717" s="48"/>
    </row>
    <row r="718" spans="2:3" ht="14" customHeight="1" x14ac:dyDescent="0.15">
      <c r="B718" s="72"/>
      <c r="C718" s="48"/>
    </row>
    <row r="719" spans="2:3" ht="14" customHeight="1" x14ac:dyDescent="0.15">
      <c r="B719" s="72"/>
      <c r="C719" s="48"/>
    </row>
    <row r="720" spans="2:3" ht="14" customHeight="1" x14ac:dyDescent="0.15">
      <c r="B720" s="72"/>
      <c r="C720" s="48"/>
    </row>
    <row r="721" spans="2:3" ht="14" customHeight="1" x14ac:dyDescent="0.15">
      <c r="B721" s="72"/>
      <c r="C721" s="48"/>
    </row>
    <row r="722" spans="2:3" ht="14" customHeight="1" x14ac:dyDescent="0.15">
      <c r="B722" s="72"/>
      <c r="C722" s="48"/>
    </row>
    <row r="723" spans="2:3" ht="14" customHeight="1" x14ac:dyDescent="0.15">
      <c r="B723" s="72"/>
      <c r="C723" s="48"/>
    </row>
    <row r="724" spans="2:3" ht="14" customHeight="1" x14ac:dyDescent="0.15">
      <c r="B724" s="72"/>
      <c r="C724" s="48"/>
    </row>
    <row r="725" spans="2:3" ht="14" customHeight="1" x14ac:dyDescent="0.15">
      <c r="B725" s="72"/>
      <c r="C725" s="48"/>
    </row>
    <row r="726" spans="2:3" ht="14" customHeight="1" x14ac:dyDescent="0.15">
      <c r="B726" s="72"/>
      <c r="C726" s="48"/>
    </row>
    <row r="727" spans="2:3" ht="14" customHeight="1" x14ac:dyDescent="0.15">
      <c r="B727" s="72"/>
      <c r="C727" s="48"/>
    </row>
    <row r="728" spans="2:3" ht="14" customHeight="1" x14ac:dyDescent="0.15">
      <c r="B728" s="72"/>
      <c r="C728" s="48"/>
    </row>
    <row r="729" spans="2:3" ht="14" customHeight="1" x14ac:dyDescent="0.15">
      <c r="B729" s="72"/>
      <c r="C729" s="48"/>
    </row>
    <row r="730" spans="2:3" ht="14" customHeight="1" x14ac:dyDescent="0.15">
      <c r="B730" s="72"/>
      <c r="C730" s="48"/>
    </row>
    <row r="731" spans="2:3" ht="14" customHeight="1" x14ac:dyDescent="0.15">
      <c r="B731" s="72"/>
      <c r="C731" s="48"/>
    </row>
    <row r="732" spans="2:3" ht="14" customHeight="1" x14ac:dyDescent="0.15">
      <c r="B732" s="72"/>
      <c r="C732" s="48"/>
    </row>
    <row r="733" spans="2:3" ht="14" customHeight="1" x14ac:dyDescent="0.15">
      <c r="B733" s="72"/>
      <c r="C733" s="48"/>
    </row>
    <row r="734" spans="2:3" ht="14" customHeight="1" x14ac:dyDescent="0.15">
      <c r="B734" s="72"/>
      <c r="C734" s="48"/>
    </row>
    <row r="735" spans="2:3" ht="14" customHeight="1" x14ac:dyDescent="0.15">
      <c r="B735" s="72"/>
      <c r="C735" s="48"/>
    </row>
    <row r="736" spans="2:3" ht="14" customHeight="1" x14ac:dyDescent="0.15">
      <c r="B736" s="72"/>
      <c r="C736" s="48"/>
    </row>
    <row r="737" spans="2:3" ht="14" customHeight="1" x14ac:dyDescent="0.15">
      <c r="B737" s="72"/>
      <c r="C737" s="48"/>
    </row>
    <row r="738" spans="2:3" ht="14" customHeight="1" x14ac:dyDescent="0.15">
      <c r="B738" s="72"/>
      <c r="C738" s="48"/>
    </row>
    <row r="739" spans="2:3" ht="14" customHeight="1" x14ac:dyDescent="0.15">
      <c r="B739" s="72"/>
      <c r="C739" s="48"/>
    </row>
    <row r="740" spans="2:3" ht="14" customHeight="1" x14ac:dyDescent="0.15">
      <c r="B740" s="72"/>
      <c r="C740" s="48"/>
    </row>
    <row r="741" spans="2:3" ht="14" customHeight="1" x14ac:dyDescent="0.15">
      <c r="B741" s="72"/>
      <c r="C741" s="48"/>
    </row>
    <row r="742" spans="2:3" ht="14" customHeight="1" x14ac:dyDescent="0.15">
      <c r="B742" s="72"/>
      <c r="C742" s="48"/>
    </row>
    <row r="743" spans="2:3" ht="14" customHeight="1" x14ac:dyDescent="0.15">
      <c r="B743" s="72"/>
      <c r="C743" s="48"/>
    </row>
    <row r="744" spans="2:3" ht="14" customHeight="1" x14ac:dyDescent="0.15">
      <c r="B744" s="72"/>
      <c r="C744" s="48"/>
    </row>
    <row r="745" spans="2:3" ht="14" customHeight="1" x14ac:dyDescent="0.15">
      <c r="B745" s="72"/>
      <c r="C745" s="48"/>
    </row>
    <row r="746" spans="2:3" ht="14" customHeight="1" x14ac:dyDescent="0.15">
      <c r="B746" s="72"/>
      <c r="C746" s="48"/>
    </row>
    <row r="747" spans="2:3" ht="14" customHeight="1" x14ac:dyDescent="0.15">
      <c r="B747" s="72"/>
      <c r="C747" s="48"/>
    </row>
    <row r="748" spans="2:3" ht="14" customHeight="1" x14ac:dyDescent="0.15">
      <c r="B748" s="72"/>
      <c r="C748" s="48"/>
    </row>
    <row r="749" spans="2:3" ht="14" customHeight="1" x14ac:dyDescent="0.15">
      <c r="B749" s="72"/>
      <c r="C749" s="48"/>
    </row>
    <row r="750" spans="2:3" ht="14" customHeight="1" x14ac:dyDescent="0.15">
      <c r="B750" s="72"/>
      <c r="C750" s="48"/>
    </row>
    <row r="751" spans="2:3" ht="14" customHeight="1" x14ac:dyDescent="0.15">
      <c r="B751" s="72"/>
      <c r="C751" s="48"/>
    </row>
    <row r="752" spans="2:3" ht="14" customHeight="1" x14ac:dyDescent="0.15">
      <c r="B752" s="72"/>
      <c r="C752" s="48"/>
    </row>
    <row r="753" spans="2:3" ht="14" customHeight="1" x14ac:dyDescent="0.15">
      <c r="B753" s="72"/>
      <c r="C753" s="48"/>
    </row>
    <row r="754" spans="2:3" ht="14" customHeight="1" x14ac:dyDescent="0.15">
      <c r="B754" s="72"/>
      <c r="C754" s="48"/>
    </row>
    <row r="755" spans="2:3" ht="14" customHeight="1" x14ac:dyDescent="0.15">
      <c r="B755" s="72"/>
      <c r="C755" s="48"/>
    </row>
    <row r="756" spans="2:3" ht="14" customHeight="1" x14ac:dyDescent="0.15">
      <c r="B756" s="72"/>
      <c r="C756" s="48"/>
    </row>
    <row r="757" spans="2:3" ht="14" customHeight="1" x14ac:dyDescent="0.15">
      <c r="B757" s="72"/>
      <c r="C757" s="48"/>
    </row>
    <row r="758" spans="2:3" ht="14" customHeight="1" x14ac:dyDescent="0.15">
      <c r="B758" s="72"/>
      <c r="C758" s="48"/>
    </row>
    <row r="759" spans="2:3" ht="14" customHeight="1" x14ac:dyDescent="0.15">
      <c r="B759" s="72"/>
      <c r="C759" s="48"/>
    </row>
    <row r="760" spans="2:3" ht="14" customHeight="1" x14ac:dyDescent="0.15">
      <c r="B760" s="72"/>
      <c r="C760" s="48"/>
    </row>
    <row r="761" spans="2:3" ht="14" customHeight="1" x14ac:dyDescent="0.15">
      <c r="B761" s="72"/>
      <c r="C761" s="48"/>
    </row>
    <row r="762" spans="2:3" ht="14" customHeight="1" x14ac:dyDescent="0.15">
      <c r="B762" s="72"/>
      <c r="C762" s="48"/>
    </row>
    <row r="763" spans="2:3" ht="14" customHeight="1" x14ac:dyDescent="0.15">
      <c r="B763" s="72"/>
      <c r="C763" s="48"/>
    </row>
    <row r="764" spans="2:3" ht="14" customHeight="1" x14ac:dyDescent="0.15">
      <c r="B764" s="72"/>
      <c r="C764" s="48"/>
    </row>
    <row r="765" spans="2:3" ht="14" customHeight="1" x14ac:dyDescent="0.15">
      <c r="B765" s="72"/>
      <c r="C765" s="48"/>
    </row>
    <row r="766" spans="2:3" ht="14" customHeight="1" x14ac:dyDescent="0.15">
      <c r="B766" s="72"/>
      <c r="C766" s="48"/>
    </row>
    <row r="767" spans="2:3" ht="14" customHeight="1" x14ac:dyDescent="0.15">
      <c r="B767" s="72"/>
      <c r="C767" s="48"/>
    </row>
    <row r="768" spans="2:3" ht="14" customHeight="1" x14ac:dyDescent="0.15">
      <c r="B768" s="72"/>
      <c r="C768" s="48"/>
    </row>
    <row r="769" spans="2:3" ht="14" customHeight="1" x14ac:dyDescent="0.15">
      <c r="B769" s="72"/>
      <c r="C769" s="48"/>
    </row>
    <row r="770" spans="2:3" ht="14" customHeight="1" x14ac:dyDescent="0.15">
      <c r="B770" s="72"/>
      <c r="C770" s="48"/>
    </row>
    <row r="771" spans="2:3" ht="14" customHeight="1" x14ac:dyDescent="0.15">
      <c r="B771" s="72"/>
      <c r="C771" s="48"/>
    </row>
    <row r="772" spans="2:3" ht="14" customHeight="1" x14ac:dyDescent="0.15">
      <c r="B772" s="72"/>
      <c r="C772" s="48"/>
    </row>
    <row r="773" spans="2:3" ht="14" customHeight="1" x14ac:dyDescent="0.15">
      <c r="B773" s="72"/>
      <c r="C773" s="48"/>
    </row>
    <row r="774" spans="2:3" ht="14" customHeight="1" x14ac:dyDescent="0.15">
      <c r="B774" s="72"/>
      <c r="C774" s="48"/>
    </row>
    <row r="775" spans="2:3" ht="14" customHeight="1" x14ac:dyDescent="0.15">
      <c r="B775" s="72"/>
      <c r="C775" s="48"/>
    </row>
    <row r="776" spans="2:3" ht="14" customHeight="1" x14ac:dyDescent="0.15">
      <c r="B776" s="72"/>
      <c r="C776" s="48"/>
    </row>
    <row r="777" spans="2:3" ht="14" customHeight="1" x14ac:dyDescent="0.15">
      <c r="B777" s="72"/>
      <c r="C777" s="48"/>
    </row>
    <row r="778" spans="2:3" ht="14" customHeight="1" x14ac:dyDescent="0.15">
      <c r="B778" s="72"/>
      <c r="C778" s="48"/>
    </row>
    <row r="779" spans="2:3" ht="14" customHeight="1" x14ac:dyDescent="0.15">
      <c r="B779" s="72"/>
      <c r="C779" s="48"/>
    </row>
    <row r="780" spans="2:3" ht="14" customHeight="1" x14ac:dyDescent="0.15">
      <c r="B780" s="72"/>
      <c r="C780" s="48"/>
    </row>
    <row r="781" spans="2:3" ht="14" customHeight="1" x14ac:dyDescent="0.15">
      <c r="B781" s="72"/>
      <c r="C781" s="48"/>
    </row>
    <row r="782" spans="2:3" ht="14" customHeight="1" x14ac:dyDescent="0.15">
      <c r="B782" s="72"/>
      <c r="C782" s="48"/>
    </row>
    <row r="783" spans="2:3" ht="14" customHeight="1" x14ac:dyDescent="0.15">
      <c r="B783" s="72"/>
      <c r="C783" s="48"/>
    </row>
    <row r="784" spans="2:3" ht="14" customHeight="1" x14ac:dyDescent="0.15">
      <c r="B784" s="72"/>
      <c r="C784" s="48"/>
    </row>
    <row r="785" spans="2:3" ht="14" customHeight="1" x14ac:dyDescent="0.15">
      <c r="B785" s="72"/>
      <c r="C785" s="48"/>
    </row>
    <row r="786" spans="2:3" ht="14" customHeight="1" x14ac:dyDescent="0.15">
      <c r="B786" s="72"/>
      <c r="C786" s="48"/>
    </row>
    <row r="787" spans="2:3" ht="14" customHeight="1" x14ac:dyDescent="0.15">
      <c r="B787" s="72"/>
      <c r="C787" s="48"/>
    </row>
    <row r="788" spans="2:3" ht="14" customHeight="1" x14ac:dyDescent="0.15">
      <c r="B788" s="72"/>
      <c r="C788" s="48"/>
    </row>
    <row r="789" spans="2:3" ht="14" customHeight="1" x14ac:dyDescent="0.15">
      <c r="B789" s="72"/>
      <c r="C789" s="48"/>
    </row>
    <row r="790" spans="2:3" ht="14" customHeight="1" x14ac:dyDescent="0.15">
      <c r="B790" s="72"/>
      <c r="C790" s="48"/>
    </row>
    <row r="791" spans="2:3" ht="14" customHeight="1" x14ac:dyDescent="0.15">
      <c r="B791" s="72"/>
      <c r="C791" s="48"/>
    </row>
    <row r="792" spans="2:3" ht="14" customHeight="1" x14ac:dyDescent="0.15">
      <c r="B792" s="72"/>
      <c r="C792" s="48"/>
    </row>
    <row r="793" spans="2:3" ht="14" customHeight="1" x14ac:dyDescent="0.15">
      <c r="B793" s="72"/>
      <c r="C793" s="48"/>
    </row>
    <row r="794" spans="2:3" ht="14" customHeight="1" x14ac:dyDescent="0.15">
      <c r="B794" s="72"/>
      <c r="C794" s="48"/>
    </row>
    <row r="795" spans="2:3" ht="14" customHeight="1" x14ac:dyDescent="0.15">
      <c r="B795" s="72"/>
      <c r="C795" s="48"/>
    </row>
    <row r="796" spans="2:3" ht="14" customHeight="1" x14ac:dyDescent="0.15">
      <c r="B796" s="72"/>
      <c r="C796" s="48"/>
    </row>
    <row r="797" spans="2:3" ht="14" customHeight="1" x14ac:dyDescent="0.15">
      <c r="B797" s="72"/>
      <c r="C797" s="48"/>
    </row>
    <row r="798" spans="2:3" ht="14" customHeight="1" x14ac:dyDescent="0.15">
      <c r="B798" s="72"/>
      <c r="C798" s="48"/>
    </row>
    <row r="799" spans="2:3" ht="14" customHeight="1" x14ac:dyDescent="0.15">
      <c r="B799" s="72"/>
      <c r="C799" s="48"/>
    </row>
    <row r="800" spans="2:3" ht="14" customHeight="1" x14ac:dyDescent="0.15">
      <c r="B800" s="72"/>
      <c r="C800" s="48"/>
    </row>
    <row r="801" spans="2:3" ht="14" customHeight="1" x14ac:dyDescent="0.15">
      <c r="B801" s="72"/>
      <c r="C801" s="48"/>
    </row>
    <row r="802" spans="2:3" ht="14" customHeight="1" x14ac:dyDescent="0.15">
      <c r="B802" s="72"/>
      <c r="C802" s="48"/>
    </row>
    <row r="803" spans="2:3" ht="14" customHeight="1" x14ac:dyDescent="0.15">
      <c r="B803" s="72"/>
      <c r="C803" s="48"/>
    </row>
    <row r="804" spans="2:3" ht="14" customHeight="1" x14ac:dyDescent="0.15">
      <c r="B804" s="72"/>
      <c r="C804" s="48"/>
    </row>
    <row r="805" spans="2:3" ht="14" customHeight="1" x14ac:dyDescent="0.15">
      <c r="B805" s="72"/>
      <c r="C805" s="48"/>
    </row>
    <row r="806" spans="2:3" ht="14" customHeight="1" x14ac:dyDescent="0.15">
      <c r="B806" s="72"/>
      <c r="C806" s="48"/>
    </row>
    <row r="807" spans="2:3" ht="14" customHeight="1" x14ac:dyDescent="0.15">
      <c r="B807" s="72"/>
      <c r="C807" s="48"/>
    </row>
    <row r="808" spans="2:3" ht="14" customHeight="1" x14ac:dyDescent="0.15">
      <c r="B808" s="72"/>
      <c r="C808" s="48"/>
    </row>
    <row r="809" spans="2:3" ht="14" customHeight="1" x14ac:dyDescent="0.15">
      <c r="B809" s="72"/>
      <c r="C809" s="48"/>
    </row>
    <row r="810" spans="2:3" ht="14" customHeight="1" x14ac:dyDescent="0.15">
      <c r="B810" s="72"/>
      <c r="C810" s="48"/>
    </row>
    <row r="811" spans="2:3" ht="14" customHeight="1" x14ac:dyDescent="0.15">
      <c r="B811" s="72"/>
      <c r="C811" s="48"/>
    </row>
    <row r="812" spans="2:3" ht="14" customHeight="1" x14ac:dyDescent="0.15">
      <c r="B812" s="72"/>
      <c r="C812" s="48"/>
    </row>
    <row r="813" spans="2:3" ht="14" customHeight="1" x14ac:dyDescent="0.15">
      <c r="B813" s="72"/>
      <c r="C813" s="48"/>
    </row>
    <row r="814" spans="2:3" ht="14" customHeight="1" x14ac:dyDescent="0.15">
      <c r="B814" s="72"/>
      <c r="C814" s="48"/>
    </row>
    <row r="815" spans="2:3" ht="14" customHeight="1" x14ac:dyDescent="0.15">
      <c r="B815" s="72"/>
      <c r="C815" s="48"/>
    </row>
    <row r="816" spans="2:3" ht="14" customHeight="1" x14ac:dyDescent="0.15">
      <c r="B816" s="72"/>
      <c r="C816" s="48"/>
    </row>
    <row r="817" spans="2:3" ht="14" customHeight="1" x14ac:dyDescent="0.15">
      <c r="B817" s="72"/>
      <c r="C817" s="48"/>
    </row>
    <row r="818" spans="2:3" ht="14" customHeight="1" x14ac:dyDescent="0.15">
      <c r="B818" s="72"/>
      <c r="C818" s="48"/>
    </row>
    <row r="819" spans="2:3" ht="14" customHeight="1" x14ac:dyDescent="0.15">
      <c r="B819" s="72"/>
      <c r="C819" s="48"/>
    </row>
    <row r="820" spans="2:3" ht="14" customHeight="1" x14ac:dyDescent="0.15">
      <c r="B820" s="72"/>
      <c r="C820" s="48"/>
    </row>
    <row r="821" spans="2:3" ht="14" customHeight="1" x14ac:dyDescent="0.15">
      <c r="B821" s="72"/>
      <c r="C821" s="48"/>
    </row>
    <row r="822" spans="2:3" ht="14" customHeight="1" x14ac:dyDescent="0.15">
      <c r="B822" s="72"/>
      <c r="C822" s="48"/>
    </row>
    <row r="823" spans="2:3" ht="14" customHeight="1" x14ac:dyDescent="0.15">
      <c r="B823" s="72"/>
      <c r="C823" s="48"/>
    </row>
    <row r="824" spans="2:3" ht="14" customHeight="1" x14ac:dyDescent="0.15">
      <c r="B824" s="72"/>
      <c r="C824" s="48"/>
    </row>
    <row r="825" spans="2:3" ht="14" customHeight="1" x14ac:dyDescent="0.15">
      <c r="B825" s="72"/>
      <c r="C825" s="48"/>
    </row>
    <row r="826" spans="2:3" ht="14" customHeight="1" x14ac:dyDescent="0.15">
      <c r="B826" s="72"/>
      <c r="C826" s="48"/>
    </row>
    <row r="827" spans="2:3" ht="14" customHeight="1" x14ac:dyDescent="0.15">
      <c r="B827" s="72"/>
      <c r="C827" s="48"/>
    </row>
    <row r="828" spans="2:3" ht="14" customHeight="1" x14ac:dyDescent="0.15">
      <c r="B828" s="72"/>
      <c r="C828" s="48"/>
    </row>
    <row r="829" spans="2:3" ht="14" customHeight="1" x14ac:dyDescent="0.15">
      <c r="B829" s="72"/>
      <c r="C829" s="48"/>
    </row>
    <row r="830" spans="2:3" ht="14" customHeight="1" x14ac:dyDescent="0.15">
      <c r="B830" s="72"/>
      <c r="C830" s="48"/>
    </row>
    <row r="831" spans="2:3" ht="14" customHeight="1" x14ac:dyDescent="0.15">
      <c r="B831" s="72"/>
      <c r="C831" s="48"/>
    </row>
    <row r="832" spans="2:3" ht="14" customHeight="1" x14ac:dyDescent="0.15">
      <c r="B832" s="72"/>
      <c r="C832" s="48"/>
    </row>
    <row r="833" spans="2:3" ht="14" customHeight="1" x14ac:dyDescent="0.15">
      <c r="B833" s="72"/>
      <c r="C833" s="48"/>
    </row>
    <row r="834" spans="2:3" ht="14" customHeight="1" x14ac:dyDescent="0.15">
      <c r="B834" s="72"/>
      <c r="C834" s="48"/>
    </row>
    <row r="835" spans="2:3" ht="14" customHeight="1" x14ac:dyDescent="0.15">
      <c r="B835" s="72"/>
      <c r="C835" s="48"/>
    </row>
    <row r="836" spans="2:3" ht="14" customHeight="1" x14ac:dyDescent="0.15">
      <c r="B836" s="72"/>
      <c r="C836" s="48"/>
    </row>
    <row r="837" spans="2:3" ht="14" customHeight="1" x14ac:dyDescent="0.15">
      <c r="B837" s="72"/>
      <c r="C837" s="48"/>
    </row>
    <row r="838" spans="2:3" ht="14" customHeight="1" x14ac:dyDescent="0.15">
      <c r="B838" s="72"/>
      <c r="C838" s="48"/>
    </row>
    <row r="839" spans="2:3" ht="14" customHeight="1" x14ac:dyDescent="0.15">
      <c r="B839" s="72"/>
      <c r="C839" s="48"/>
    </row>
    <row r="840" spans="2:3" ht="14" customHeight="1" x14ac:dyDescent="0.15">
      <c r="B840" s="72"/>
      <c r="C840" s="48"/>
    </row>
    <row r="841" spans="2:3" ht="14" customHeight="1" x14ac:dyDescent="0.15">
      <c r="B841" s="72"/>
      <c r="C841" s="48"/>
    </row>
    <row r="842" spans="2:3" ht="14" customHeight="1" x14ac:dyDescent="0.15">
      <c r="B842" s="72"/>
      <c r="C842" s="48"/>
    </row>
    <row r="843" spans="2:3" ht="14" customHeight="1" x14ac:dyDescent="0.15">
      <c r="B843" s="72"/>
      <c r="C843" s="48"/>
    </row>
    <row r="844" spans="2:3" ht="14" customHeight="1" x14ac:dyDescent="0.15">
      <c r="B844" s="72"/>
      <c r="C844" s="48"/>
    </row>
    <row r="845" spans="2:3" ht="14" customHeight="1" x14ac:dyDescent="0.15">
      <c r="B845" s="72"/>
      <c r="C845" s="48"/>
    </row>
    <row r="846" spans="2:3" ht="14" customHeight="1" x14ac:dyDescent="0.15">
      <c r="B846" s="72"/>
      <c r="C846" s="48"/>
    </row>
    <row r="847" spans="2:3" ht="14" customHeight="1" x14ac:dyDescent="0.15">
      <c r="B847" s="72"/>
      <c r="C847" s="48"/>
    </row>
    <row r="848" spans="2:3" ht="14" customHeight="1" x14ac:dyDescent="0.15">
      <c r="B848" s="72"/>
      <c r="C848" s="48"/>
    </row>
    <row r="849" spans="2:3" ht="14" customHeight="1" x14ac:dyDescent="0.15">
      <c r="B849" s="72"/>
      <c r="C849" s="48"/>
    </row>
    <row r="850" spans="2:3" ht="14" customHeight="1" x14ac:dyDescent="0.15">
      <c r="B850" s="72"/>
      <c r="C850" s="48"/>
    </row>
    <row r="851" spans="2:3" ht="14" customHeight="1" x14ac:dyDescent="0.15">
      <c r="B851" s="72"/>
      <c r="C851" s="48"/>
    </row>
    <row r="852" spans="2:3" ht="14" customHeight="1" x14ac:dyDescent="0.15">
      <c r="B852" s="72"/>
      <c r="C852" s="48"/>
    </row>
    <row r="853" spans="2:3" ht="14" customHeight="1" x14ac:dyDescent="0.15">
      <c r="B853" s="72"/>
      <c r="C853" s="48"/>
    </row>
    <row r="854" spans="2:3" ht="14" customHeight="1" x14ac:dyDescent="0.15">
      <c r="B854" s="72"/>
      <c r="C854" s="48"/>
    </row>
    <row r="855" spans="2:3" ht="14" customHeight="1" x14ac:dyDescent="0.15">
      <c r="B855" s="72"/>
      <c r="C855" s="48"/>
    </row>
    <row r="856" spans="2:3" ht="14" customHeight="1" x14ac:dyDescent="0.15">
      <c r="B856" s="72"/>
      <c r="C856" s="48"/>
    </row>
    <row r="857" spans="2:3" ht="14" customHeight="1" x14ac:dyDescent="0.15">
      <c r="B857" s="72"/>
      <c r="C857" s="48"/>
    </row>
    <row r="858" spans="2:3" ht="14" customHeight="1" x14ac:dyDescent="0.15">
      <c r="B858" s="72"/>
      <c r="C858" s="48"/>
    </row>
    <row r="859" spans="2:3" ht="14" customHeight="1" x14ac:dyDescent="0.15">
      <c r="B859" s="72"/>
      <c r="C859" s="48"/>
    </row>
    <row r="860" spans="2:3" ht="14" customHeight="1" x14ac:dyDescent="0.15">
      <c r="B860" s="72"/>
      <c r="C860" s="48"/>
    </row>
    <row r="861" spans="2:3" ht="14" customHeight="1" x14ac:dyDescent="0.15">
      <c r="B861" s="72"/>
      <c r="C861" s="48"/>
    </row>
    <row r="862" spans="2:3" ht="14" customHeight="1" x14ac:dyDescent="0.15">
      <c r="B862" s="72"/>
      <c r="C862" s="48"/>
    </row>
    <row r="863" spans="2:3" ht="14" customHeight="1" x14ac:dyDescent="0.15">
      <c r="B863" s="72"/>
      <c r="C863" s="48"/>
    </row>
    <row r="864" spans="2:3" ht="14" customHeight="1" x14ac:dyDescent="0.15">
      <c r="B864" s="72"/>
      <c r="C864" s="48"/>
    </row>
    <row r="865" spans="2:3" ht="14" customHeight="1" x14ac:dyDescent="0.15">
      <c r="B865" s="72"/>
      <c r="C865" s="48"/>
    </row>
    <row r="866" spans="2:3" ht="14" customHeight="1" x14ac:dyDescent="0.15">
      <c r="B866" s="72"/>
      <c r="C866" s="48"/>
    </row>
    <row r="867" spans="2:3" ht="14" customHeight="1" x14ac:dyDescent="0.15">
      <c r="B867" s="72"/>
      <c r="C867" s="48"/>
    </row>
    <row r="868" spans="2:3" ht="14" customHeight="1" x14ac:dyDescent="0.15">
      <c r="B868" s="72"/>
      <c r="C868" s="48"/>
    </row>
    <row r="869" spans="2:3" ht="14" customHeight="1" x14ac:dyDescent="0.15">
      <c r="B869" s="72"/>
      <c r="C869" s="48"/>
    </row>
    <row r="870" spans="2:3" ht="14" customHeight="1" x14ac:dyDescent="0.15">
      <c r="B870" s="72"/>
      <c r="C870" s="48"/>
    </row>
    <row r="871" spans="2:3" ht="14" customHeight="1" x14ac:dyDescent="0.15">
      <c r="B871" s="72"/>
      <c r="C871" s="48"/>
    </row>
    <row r="872" spans="2:3" ht="14" customHeight="1" x14ac:dyDescent="0.15">
      <c r="B872" s="72"/>
      <c r="C872" s="48"/>
    </row>
    <row r="873" spans="2:3" ht="14" customHeight="1" x14ac:dyDescent="0.15">
      <c r="B873" s="72"/>
      <c r="C873" s="48"/>
    </row>
    <row r="874" spans="2:3" ht="14" customHeight="1" x14ac:dyDescent="0.15">
      <c r="B874" s="72"/>
      <c r="C874" s="48"/>
    </row>
    <row r="875" spans="2:3" ht="14" customHeight="1" x14ac:dyDescent="0.15">
      <c r="B875" s="72"/>
      <c r="C875" s="48"/>
    </row>
    <row r="876" spans="2:3" ht="14" customHeight="1" x14ac:dyDescent="0.15">
      <c r="B876" s="72"/>
      <c r="C876" s="48"/>
    </row>
    <row r="877" spans="2:3" ht="14" customHeight="1" x14ac:dyDescent="0.15">
      <c r="B877" s="72"/>
      <c r="C877" s="48"/>
    </row>
    <row r="878" spans="2:3" ht="14" customHeight="1" x14ac:dyDescent="0.15">
      <c r="B878" s="72"/>
      <c r="C878" s="48"/>
    </row>
    <row r="879" spans="2:3" ht="14" customHeight="1" x14ac:dyDescent="0.15">
      <c r="B879" s="72"/>
      <c r="C879" s="48"/>
    </row>
    <row r="880" spans="2:3" ht="14" customHeight="1" x14ac:dyDescent="0.15">
      <c r="B880" s="72"/>
      <c r="C880" s="48"/>
    </row>
    <row r="881" spans="2:3" ht="14" customHeight="1" x14ac:dyDescent="0.15">
      <c r="B881" s="72"/>
      <c r="C881" s="48"/>
    </row>
    <row r="882" spans="2:3" ht="14" customHeight="1" x14ac:dyDescent="0.15">
      <c r="B882" s="72"/>
      <c r="C882" s="48"/>
    </row>
    <row r="883" spans="2:3" ht="14" customHeight="1" x14ac:dyDescent="0.15">
      <c r="B883" s="72"/>
      <c r="C883" s="48"/>
    </row>
    <row r="884" spans="2:3" ht="14" customHeight="1" x14ac:dyDescent="0.15">
      <c r="B884" s="72"/>
      <c r="C884" s="48"/>
    </row>
    <row r="885" spans="2:3" ht="14" customHeight="1" x14ac:dyDescent="0.15">
      <c r="B885" s="72"/>
      <c r="C885" s="48"/>
    </row>
    <row r="886" spans="2:3" ht="14" customHeight="1" x14ac:dyDescent="0.15">
      <c r="B886" s="72"/>
      <c r="C886" s="48"/>
    </row>
    <row r="887" spans="2:3" ht="14" customHeight="1" x14ac:dyDescent="0.15">
      <c r="B887" s="72"/>
      <c r="C887" s="48"/>
    </row>
    <row r="888" spans="2:3" ht="14" customHeight="1" x14ac:dyDescent="0.15">
      <c r="B888" s="72"/>
      <c r="C888" s="48"/>
    </row>
    <row r="889" spans="2:3" ht="14" customHeight="1" x14ac:dyDescent="0.15">
      <c r="B889" s="72"/>
      <c r="C889" s="48"/>
    </row>
    <row r="890" spans="2:3" ht="14" customHeight="1" x14ac:dyDescent="0.15">
      <c r="B890" s="72"/>
      <c r="C890" s="48"/>
    </row>
    <row r="891" spans="2:3" ht="14" customHeight="1" x14ac:dyDescent="0.15">
      <c r="B891" s="72"/>
      <c r="C891" s="48"/>
    </row>
    <row r="892" spans="2:3" ht="14" customHeight="1" x14ac:dyDescent="0.15">
      <c r="B892" s="72"/>
      <c r="C892" s="48"/>
    </row>
    <row r="893" spans="2:3" ht="14" customHeight="1" x14ac:dyDescent="0.15">
      <c r="B893" s="72"/>
      <c r="C893" s="48"/>
    </row>
    <row r="894" spans="2:3" ht="14" customHeight="1" x14ac:dyDescent="0.15">
      <c r="B894" s="72"/>
      <c r="C894" s="48"/>
    </row>
    <row r="895" spans="2:3" ht="14" customHeight="1" x14ac:dyDescent="0.15">
      <c r="B895" s="72"/>
      <c r="C895" s="48"/>
    </row>
    <row r="896" spans="2:3" ht="14" customHeight="1" x14ac:dyDescent="0.15">
      <c r="B896" s="72"/>
      <c r="C896" s="48"/>
    </row>
    <row r="897" spans="2:3" ht="14" customHeight="1" x14ac:dyDescent="0.15">
      <c r="B897" s="72"/>
      <c r="C897" s="48"/>
    </row>
    <row r="898" spans="2:3" ht="14" customHeight="1" x14ac:dyDescent="0.15">
      <c r="B898" s="72"/>
      <c r="C898" s="48"/>
    </row>
    <row r="899" spans="2:3" ht="14" customHeight="1" x14ac:dyDescent="0.15">
      <c r="B899" s="72"/>
      <c r="C899" s="48"/>
    </row>
    <row r="900" spans="2:3" ht="14" customHeight="1" x14ac:dyDescent="0.15">
      <c r="B900" s="72"/>
      <c r="C900" s="48"/>
    </row>
    <row r="901" spans="2:3" ht="14" customHeight="1" x14ac:dyDescent="0.15">
      <c r="B901" s="72"/>
      <c r="C901" s="48"/>
    </row>
    <row r="902" spans="2:3" ht="14" customHeight="1" x14ac:dyDescent="0.15">
      <c r="B902" s="72"/>
      <c r="C902" s="48"/>
    </row>
    <row r="903" spans="2:3" ht="14" customHeight="1" x14ac:dyDescent="0.15">
      <c r="B903" s="72"/>
      <c r="C903" s="48"/>
    </row>
    <row r="904" spans="2:3" ht="14" customHeight="1" x14ac:dyDescent="0.15">
      <c r="B904" s="72"/>
      <c r="C904" s="48"/>
    </row>
    <row r="905" spans="2:3" ht="14" customHeight="1" x14ac:dyDescent="0.15">
      <c r="B905" s="72"/>
      <c r="C905" s="48"/>
    </row>
    <row r="906" spans="2:3" ht="14" customHeight="1" x14ac:dyDescent="0.15">
      <c r="B906" s="72"/>
      <c r="C906" s="48"/>
    </row>
    <row r="907" spans="2:3" ht="14" customHeight="1" x14ac:dyDescent="0.15">
      <c r="B907" s="72"/>
      <c r="C907" s="48"/>
    </row>
    <row r="908" spans="2:3" ht="14" customHeight="1" x14ac:dyDescent="0.15">
      <c r="B908" s="72"/>
      <c r="C908" s="48"/>
    </row>
    <row r="909" spans="2:3" ht="14" customHeight="1" x14ac:dyDescent="0.15">
      <c r="B909" s="72"/>
      <c r="C909" s="48"/>
    </row>
    <row r="910" spans="2:3" ht="14" customHeight="1" x14ac:dyDescent="0.15">
      <c r="B910" s="72"/>
      <c r="C910" s="48"/>
    </row>
    <row r="911" spans="2:3" ht="14" customHeight="1" x14ac:dyDescent="0.15">
      <c r="B911" s="72"/>
      <c r="C911" s="48"/>
    </row>
    <row r="912" spans="2:3" ht="14" customHeight="1" x14ac:dyDescent="0.15">
      <c r="B912" s="72"/>
      <c r="C912" s="48"/>
    </row>
    <row r="913" spans="2:3" ht="14" customHeight="1" x14ac:dyDescent="0.15">
      <c r="B913" s="72"/>
      <c r="C913" s="48"/>
    </row>
    <row r="914" spans="2:3" ht="14" customHeight="1" x14ac:dyDescent="0.15">
      <c r="B914" s="72"/>
      <c r="C914" s="48"/>
    </row>
    <row r="915" spans="2:3" ht="14" customHeight="1" x14ac:dyDescent="0.15">
      <c r="B915" s="72"/>
      <c r="C915" s="48"/>
    </row>
    <row r="916" spans="2:3" ht="14" customHeight="1" x14ac:dyDescent="0.15">
      <c r="B916" s="72"/>
      <c r="C916" s="48"/>
    </row>
    <row r="917" spans="2:3" ht="14" customHeight="1" x14ac:dyDescent="0.15">
      <c r="B917" s="72"/>
      <c r="C917" s="48"/>
    </row>
    <row r="918" spans="2:3" ht="14" customHeight="1" x14ac:dyDescent="0.15">
      <c r="B918" s="72"/>
      <c r="C918" s="48"/>
    </row>
    <row r="919" spans="2:3" ht="14" customHeight="1" x14ac:dyDescent="0.15">
      <c r="B919" s="72"/>
      <c r="C919" s="48"/>
    </row>
    <row r="920" spans="2:3" ht="14" customHeight="1" x14ac:dyDescent="0.15">
      <c r="B920" s="72"/>
      <c r="C920" s="48"/>
    </row>
    <row r="921" spans="2:3" ht="14" customHeight="1" x14ac:dyDescent="0.15">
      <c r="B921" s="72"/>
      <c r="C921" s="48"/>
    </row>
    <row r="922" spans="2:3" ht="14" customHeight="1" x14ac:dyDescent="0.15">
      <c r="B922" s="72"/>
      <c r="C922" s="48"/>
    </row>
    <row r="923" spans="2:3" ht="14" customHeight="1" x14ac:dyDescent="0.15">
      <c r="B923" s="72"/>
      <c r="C923" s="48"/>
    </row>
    <row r="924" spans="2:3" ht="14" customHeight="1" x14ac:dyDescent="0.15">
      <c r="B924" s="72"/>
      <c r="C924" s="48"/>
    </row>
    <row r="925" spans="2:3" ht="14" customHeight="1" x14ac:dyDescent="0.15">
      <c r="B925" s="72"/>
      <c r="C925" s="48"/>
    </row>
    <row r="926" spans="2:3" ht="14" customHeight="1" x14ac:dyDescent="0.15">
      <c r="B926" s="72"/>
      <c r="C926" s="48"/>
    </row>
    <row r="927" spans="2:3" ht="14" customHeight="1" x14ac:dyDescent="0.15">
      <c r="B927" s="72"/>
      <c r="C927" s="48"/>
    </row>
    <row r="928" spans="2:3" ht="14" customHeight="1" x14ac:dyDescent="0.15">
      <c r="B928" s="72"/>
      <c r="C928" s="48"/>
    </row>
    <row r="929" spans="2:3" ht="14" customHeight="1" x14ac:dyDescent="0.15">
      <c r="B929" s="72"/>
      <c r="C929" s="48"/>
    </row>
    <row r="930" spans="2:3" ht="14" customHeight="1" x14ac:dyDescent="0.15">
      <c r="B930" s="72"/>
      <c r="C930" s="48"/>
    </row>
    <row r="931" spans="2:3" ht="14" customHeight="1" x14ac:dyDescent="0.15">
      <c r="B931" s="72"/>
      <c r="C931" s="48"/>
    </row>
    <row r="932" spans="2:3" ht="14" customHeight="1" x14ac:dyDescent="0.15">
      <c r="B932" s="72"/>
      <c r="C932" s="48"/>
    </row>
    <row r="933" spans="2:3" ht="14" customHeight="1" x14ac:dyDescent="0.15">
      <c r="B933" s="72"/>
      <c r="C933" s="48"/>
    </row>
    <row r="934" spans="2:3" ht="14" customHeight="1" x14ac:dyDescent="0.15">
      <c r="B934" s="72"/>
      <c r="C934" s="48"/>
    </row>
    <row r="935" spans="2:3" ht="14" customHeight="1" x14ac:dyDescent="0.15">
      <c r="B935" s="72"/>
      <c r="C935" s="48"/>
    </row>
    <row r="936" spans="2:3" ht="14" customHeight="1" x14ac:dyDescent="0.15">
      <c r="B936" s="72"/>
      <c r="C936" s="48"/>
    </row>
    <row r="937" spans="2:3" ht="14" customHeight="1" x14ac:dyDescent="0.15">
      <c r="B937" s="72"/>
      <c r="C937" s="48"/>
    </row>
    <row r="938" spans="2:3" ht="14" customHeight="1" x14ac:dyDescent="0.15">
      <c r="B938" s="72"/>
      <c r="C938" s="48"/>
    </row>
    <row r="939" spans="2:3" ht="14" customHeight="1" x14ac:dyDescent="0.15">
      <c r="B939" s="72"/>
      <c r="C939" s="48"/>
    </row>
    <row r="940" spans="2:3" ht="14" customHeight="1" x14ac:dyDescent="0.15">
      <c r="B940" s="72"/>
      <c r="C940" s="48"/>
    </row>
    <row r="941" spans="2:3" ht="14" customHeight="1" x14ac:dyDescent="0.15">
      <c r="B941" s="72"/>
      <c r="C941" s="48"/>
    </row>
    <row r="942" spans="2:3" ht="14" customHeight="1" x14ac:dyDescent="0.15">
      <c r="B942" s="72"/>
      <c r="C942" s="48"/>
    </row>
    <row r="943" spans="2:3" ht="14" customHeight="1" x14ac:dyDescent="0.15">
      <c r="B943" s="72"/>
      <c r="C943" s="48"/>
    </row>
    <row r="944" spans="2:3" ht="14" customHeight="1" x14ac:dyDescent="0.15">
      <c r="B944" s="72"/>
      <c r="C944" s="48"/>
    </row>
    <row r="945" spans="2:3" ht="14" customHeight="1" x14ac:dyDescent="0.15">
      <c r="B945" s="72"/>
      <c r="C945" s="48"/>
    </row>
    <row r="946" spans="2:3" ht="14" customHeight="1" x14ac:dyDescent="0.15">
      <c r="B946" s="72"/>
      <c r="C946" s="48"/>
    </row>
    <row r="947" spans="2:3" ht="14" customHeight="1" x14ac:dyDescent="0.15">
      <c r="B947" s="72"/>
      <c r="C947" s="48"/>
    </row>
    <row r="948" spans="2:3" ht="14" customHeight="1" x14ac:dyDescent="0.15">
      <c r="B948" s="72"/>
      <c r="C948" s="48"/>
    </row>
    <row r="949" spans="2:3" ht="14" customHeight="1" x14ac:dyDescent="0.15">
      <c r="B949" s="72"/>
      <c r="C949" s="48"/>
    </row>
    <row r="950" spans="2:3" ht="14" customHeight="1" x14ac:dyDescent="0.15">
      <c r="B950" s="72"/>
      <c r="C950" s="48"/>
    </row>
    <row r="951" spans="2:3" ht="14" customHeight="1" x14ac:dyDescent="0.15">
      <c r="B951" s="72"/>
      <c r="C951" s="48"/>
    </row>
    <row r="952" spans="2:3" ht="14" customHeight="1" x14ac:dyDescent="0.15">
      <c r="B952" s="72"/>
      <c r="C952" s="48"/>
    </row>
    <row r="953" spans="2:3" ht="14" customHeight="1" x14ac:dyDescent="0.15">
      <c r="B953" s="72"/>
      <c r="C953" s="48"/>
    </row>
    <row r="954" spans="2:3" ht="14" customHeight="1" x14ac:dyDescent="0.15">
      <c r="B954" s="72"/>
      <c r="C954" s="48"/>
    </row>
    <row r="955" spans="2:3" ht="14" customHeight="1" x14ac:dyDescent="0.15">
      <c r="B955" s="72"/>
      <c r="C955" s="48"/>
    </row>
    <row r="956" spans="2:3" ht="14" customHeight="1" x14ac:dyDescent="0.15">
      <c r="B956" s="72"/>
      <c r="C956" s="48"/>
    </row>
    <row r="957" spans="2:3" ht="14" customHeight="1" x14ac:dyDescent="0.15">
      <c r="B957" s="72"/>
      <c r="C957" s="48"/>
    </row>
    <row r="958" spans="2:3" ht="14" customHeight="1" x14ac:dyDescent="0.15">
      <c r="B958" s="72"/>
      <c r="C958" s="48"/>
    </row>
    <row r="959" spans="2:3" ht="14" customHeight="1" x14ac:dyDescent="0.15">
      <c r="B959" s="72"/>
      <c r="C959" s="48"/>
    </row>
    <row r="960" spans="2:3" ht="14" customHeight="1" x14ac:dyDescent="0.15">
      <c r="B960" s="72"/>
      <c r="C960" s="48"/>
    </row>
    <row r="961" spans="2:3" ht="14" customHeight="1" x14ac:dyDescent="0.15">
      <c r="B961" s="72"/>
      <c r="C961" s="48"/>
    </row>
    <row r="962" spans="2:3" ht="14" customHeight="1" x14ac:dyDescent="0.15">
      <c r="B962" s="72"/>
      <c r="C962" s="48"/>
    </row>
    <row r="963" spans="2:3" ht="14" customHeight="1" x14ac:dyDescent="0.15">
      <c r="B963" s="72"/>
      <c r="C963" s="48"/>
    </row>
    <row r="964" spans="2:3" ht="14" customHeight="1" x14ac:dyDescent="0.15">
      <c r="B964" s="72"/>
      <c r="C964" s="48"/>
    </row>
    <row r="965" spans="2:3" ht="14" customHeight="1" x14ac:dyDescent="0.15">
      <c r="B965" s="72"/>
      <c r="C965" s="48"/>
    </row>
    <row r="966" spans="2:3" ht="14" customHeight="1" x14ac:dyDescent="0.15">
      <c r="B966" s="72"/>
      <c r="C966" s="48"/>
    </row>
    <row r="967" spans="2:3" ht="14" customHeight="1" x14ac:dyDescent="0.15">
      <c r="B967" s="72"/>
      <c r="C967" s="48"/>
    </row>
    <row r="968" spans="2:3" ht="14" customHeight="1" x14ac:dyDescent="0.15">
      <c r="B968" s="72"/>
      <c r="C968" s="48"/>
    </row>
    <row r="969" spans="2:3" ht="14" customHeight="1" x14ac:dyDescent="0.15">
      <c r="B969" s="72"/>
      <c r="C969" s="48"/>
    </row>
    <row r="970" spans="2:3" ht="14" customHeight="1" x14ac:dyDescent="0.15">
      <c r="B970" s="72"/>
      <c r="C970" s="48"/>
    </row>
    <row r="971" spans="2:3" ht="14" customHeight="1" x14ac:dyDescent="0.15">
      <c r="B971" s="72"/>
      <c r="C971" s="48"/>
    </row>
    <row r="972" spans="2:3" ht="14" customHeight="1" x14ac:dyDescent="0.15">
      <c r="B972" s="72"/>
      <c r="C972" s="48"/>
    </row>
    <row r="973" spans="2:3" ht="14" customHeight="1" x14ac:dyDescent="0.15">
      <c r="B973" s="72"/>
      <c r="C973" s="48"/>
    </row>
    <row r="974" spans="2:3" ht="14" customHeight="1" x14ac:dyDescent="0.15">
      <c r="B974" s="72"/>
      <c r="C974" s="48"/>
    </row>
    <row r="975" spans="2:3" ht="14" customHeight="1" x14ac:dyDescent="0.15">
      <c r="B975" s="72"/>
      <c r="C975" s="48"/>
    </row>
    <row r="976" spans="2:3" ht="14" customHeight="1" x14ac:dyDescent="0.15">
      <c r="B976" s="72"/>
      <c r="C976" s="48"/>
    </row>
    <row r="977" spans="2:3" ht="14" customHeight="1" x14ac:dyDescent="0.15">
      <c r="B977" s="72"/>
      <c r="C977" s="48"/>
    </row>
    <row r="978" spans="2:3" ht="14" customHeight="1" x14ac:dyDescent="0.15">
      <c r="B978" s="72"/>
      <c r="C978" s="48"/>
    </row>
    <row r="979" spans="2:3" ht="14" customHeight="1" x14ac:dyDescent="0.15">
      <c r="B979" s="72"/>
      <c r="C979" s="48"/>
    </row>
    <row r="980" spans="2:3" ht="14" customHeight="1" x14ac:dyDescent="0.15">
      <c r="B980" s="72"/>
      <c r="C980" s="48"/>
    </row>
    <row r="981" spans="2:3" ht="14" customHeight="1" x14ac:dyDescent="0.15">
      <c r="B981" s="72"/>
      <c r="C981" s="48"/>
    </row>
    <row r="982" spans="2:3" ht="14" customHeight="1" x14ac:dyDescent="0.15">
      <c r="B982" s="72"/>
      <c r="C982" s="48"/>
    </row>
    <row r="983" spans="2:3" ht="14" customHeight="1" x14ac:dyDescent="0.15">
      <c r="B983" s="72"/>
      <c r="C983" s="48"/>
    </row>
    <row r="984" spans="2:3" ht="14" customHeight="1" x14ac:dyDescent="0.15">
      <c r="B984" s="72"/>
      <c r="C984" s="48"/>
    </row>
    <row r="985" spans="2:3" ht="14" customHeight="1" x14ac:dyDescent="0.15">
      <c r="B985" s="72"/>
      <c r="C985" s="48"/>
    </row>
    <row r="986" spans="2:3" ht="14" customHeight="1" x14ac:dyDescent="0.15">
      <c r="B986" s="72"/>
      <c r="C986" s="48"/>
    </row>
    <row r="987" spans="2:3" ht="14" customHeight="1" x14ac:dyDescent="0.15">
      <c r="B987" s="72"/>
      <c r="C987" s="48"/>
    </row>
    <row r="988" spans="2:3" ht="14" customHeight="1" x14ac:dyDescent="0.15">
      <c r="B988" s="72"/>
      <c r="C988" s="48"/>
    </row>
    <row r="989" spans="2:3" ht="14" customHeight="1" x14ac:dyDescent="0.15">
      <c r="B989" s="72"/>
      <c r="C989" s="48"/>
    </row>
    <row r="990" spans="2:3" ht="14" customHeight="1" x14ac:dyDescent="0.15">
      <c r="B990" s="72"/>
      <c r="C990" s="48"/>
    </row>
    <row r="991" spans="2:3" ht="14" customHeight="1" x14ac:dyDescent="0.15">
      <c r="B991" s="72"/>
      <c r="C991" s="48"/>
    </row>
    <row r="992" spans="2:3" ht="14" customHeight="1" x14ac:dyDescent="0.15">
      <c r="B992" s="72"/>
      <c r="C992" s="48"/>
    </row>
    <row r="993" spans="2:3" ht="14" customHeight="1" x14ac:dyDescent="0.15">
      <c r="B993" s="72"/>
      <c r="C993" s="48"/>
    </row>
    <row r="994" spans="2:3" ht="14" customHeight="1" x14ac:dyDescent="0.15">
      <c r="B994" s="72"/>
      <c r="C994" s="48"/>
    </row>
    <row r="995" spans="2:3" ht="14" customHeight="1" x14ac:dyDescent="0.15">
      <c r="B995" s="72"/>
      <c r="C995" s="48"/>
    </row>
    <row r="996" spans="2:3" ht="14" customHeight="1" x14ac:dyDescent="0.15">
      <c r="B996" s="72"/>
      <c r="C996" s="48"/>
    </row>
    <row r="997" spans="2:3" ht="14" customHeight="1" x14ac:dyDescent="0.15">
      <c r="B997" s="72"/>
      <c r="C997" s="48"/>
    </row>
    <row r="998" spans="2:3" ht="14" customHeight="1" x14ac:dyDescent="0.15">
      <c r="B998" s="72"/>
      <c r="C998" s="48"/>
    </row>
    <row r="999" spans="2:3" ht="14" customHeight="1" x14ac:dyDescent="0.15">
      <c r="B999" s="72"/>
      <c r="C999" s="48"/>
    </row>
    <row r="1000" spans="2:3" ht="14" customHeight="1" x14ac:dyDescent="0.15">
      <c r="B1000" s="72"/>
      <c r="C1000" s="48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1" topLeftCell="A18" activePane="bottomLeft" state="frozen"/>
      <selection pane="bottomLeft" activeCell="M20" sqref="M20"/>
    </sheetView>
  </sheetViews>
  <sheetFormatPr baseColWidth="10" defaultColWidth="14.5" defaultRowHeight="15" customHeight="1" x14ac:dyDescent="0.15"/>
  <cols>
    <col min="1" max="1" width="6.5" style="1" customWidth="1"/>
    <col min="2" max="2" width="12" style="1" customWidth="1"/>
    <col min="3" max="3" width="2.5" style="1" customWidth="1"/>
    <col min="4" max="4" width="7.5" style="1" bestFit="1" customWidth="1"/>
    <col min="5" max="5" width="15.83203125" style="1" bestFit="1" customWidth="1"/>
    <col min="6" max="6" width="19.5" style="1" customWidth="1"/>
    <col min="7" max="7" width="13.5" style="1" bestFit="1" customWidth="1"/>
    <col min="8" max="8" width="12" style="1" bestFit="1" customWidth="1"/>
    <col min="9" max="9" width="12.5" style="1" bestFit="1" customWidth="1"/>
    <col min="10" max="10" width="4.5" style="1" customWidth="1"/>
    <col min="11" max="12" width="18.83203125" style="1" customWidth="1"/>
    <col min="13" max="13" width="8.5" style="1" bestFit="1" customWidth="1"/>
    <col min="14" max="14" width="18.83203125" style="1" customWidth="1"/>
    <col min="15" max="15" width="7.5" style="1" bestFit="1" customWidth="1"/>
    <col min="16" max="17" width="18.83203125" style="1" customWidth="1"/>
    <col min="18" max="22" width="28" style="1" hidden="1" customWidth="1"/>
    <col min="23" max="23" width="11" style="1" customWidth="1"/>
    <col min="24" max="24" width="35.5" style="1" bestFit="1" customWidth="1"/>
    <col min="25" max="25" width="77.5" style="1" bestFit="1" customWidth="1"/>
    <col min="26" max="37" width="14.5" style="1" customWidth="1"/>
    <col min="38" max="16384" width="14.5" style="1"/>
  </cols>
  <sheetData>
    <row r="1" spans="1:25" x14ac:dyDescent="0.15">
      <c r="A1" s="17" t="s">
        <v>13</v>
      </c>
      <c r="B1" s="45" t="s">
        <v>0</v>
      </c>
      <c r="C1" s="17"/>
      <c r="D1" s="17" t="s">
        <v>14</v>
      </c>
      <c r="E1" s="17" t="s">
        <v>15</v>
      </c>
      <c r="F1" s="17" t="s">
        <v>16</v>
      </c>
      <c r="G1" s="17" t="s">
        <v>17</v>
      </c>
      <c r="H1" s="17" t="s">
        <v>16</v>
      </c>
      <c r="I1" s="17" t="s">
        <v>18</v>
      </c>
      <c r="J1" s="17"/>
      <c r="K1" s="17" t="s">
        <v>8</v>
      </c>
      <c r="L1" s="46" t="s">
        <v>8</v>
      </c>
      <c r="M1" s="46" t="s">
        <v>1</v>
      </c>
      <c r="N1" s="46" t="s">
        <v>2</v>
      </c>
      <c r="O1" s="46" t="s">
        <v>3</v>
      </c>
      <c r="P1" s="17" t="s">
        <v>10</v>
      </c>
      <c r="Q1" s="17" t="s">
        <v>10</v>
      </c>
      <c r="R1" s="17" t="s">
        <v>8</v>
      </c>
      <c r="S1" s="46" t="s">
        <v>8</v>
      </c>
      <c r="T1" s="46" t="s">
        <v>2</v>
      </c>
      <c r="U1" s="17" t="s">
        <v>10</v>
      </c>
      <c r="V1" s="17" t="s">
        <v>10</v>
      </c>
      <c r="W1" s="17"/>
      <c r="X1" s="47"/>
      <c r="Y1" s="36"/>
    </row>
    <row r="2" spans="1:25" ht="14" customHeight="1" x14ac:dyDescent="0.15">
      <c r="A2" s="2">
        <v>44927</v>
      </c>
      <c r="B2" s="3">
        <v>46055</v>
      </c>
      <c r="C2" s="48" t="s">
        <v>19</v>
      </c>
      <c r="D2" s="49">
        <f t="shared" ref="D2:D21" si="0">SUM(E2:I2)</f>
        <v>2</v>
      </c>
      <c r="E2" s="22" t="s">
        <v>20</v>
      </c>
      <c r="F2" s="20" t="s">
        <v>21</v>
      </c>
      <c r="G2" s="21">
        <v>1</v>
      </c>
      <c r="H2" s="21"/>
      <c r="I2" s="21">
        <v>1</v>
      </c>
      <c r="J2" s="36"/>
      <c r="K2" s="22" t="s">
        <v>20</v>
      </c>
      <c r="L2" s="22" t="s">
        <v>20</v>
      </c>
      <c r="M2" s="22" t="s">
        <v>919</v>
      </c>
      <c r="N2" s="36"/>
      <c r="O2" s="36"/>
      <c r="P2" s="36"/>
      <c r="Q2" s="36" t="s">
        <v>26</v>
      </c>
      <c r="R2" s="36"/>
      <c r="S2" s="50"/>
      <c r="T2" s="50"/>
      <c r="U2" s="51" t="s">
        <v>401</v>
      </c>
      <c r="V2" s="51" t="s">
        <v>402</v>
      </c>
      <c r="W2" s="36">
        <v>1</v>
      </c>
      <c r="X2" s="52" t="s">
        <v>27</v>
      </c>
      <c r="Y2" s="52" t="s">
        <v>28</v>
      </c>
    </row>
    <row r="3" spans="1:25" ht="14" customHeight="1" x14ac:dyDescent="0.15">
      <c r="A3" s="2">
        <v>44928</v>
      </c>
      <c r="B3" s="3">
        <f t="shared" ref="B3:B10" si="1">B2+7</f>
        <v>46062</v>
      </c>
      <c r="C3" s="48" t="s">
        <v>29</v>
      </c>
      <c r="D3" s="49">
        <f t="shared" si="0"/>
        <v>5</v>
      </c>
      <c r="E3" s="21">
        <v>2</v>
      </c>
      <c r="F3" s="22" t="s">
        <v>30</v>
      </c>
      <c r="G3" s="21">
        <v>1</v>
      </c>
      <c r="H3" s="21"/>
      <c r="I3" s="21">
        <v>2</v>
      </c>
      <c r="J3" s="36"/>
      <c r="K3" s="21"/>
      <c r="L3" s="21"/>
      <c r="M3" s="22" t="s">
        <v>30</v>
      </c>
      <c r="N3" s="36"/>
      <c r="O3" s="36"/>
      <c r="P3" s="36"/>
      <c r="Q3" s="36"/>
      <c r="R3" s="51" t="s">
        <v>409</v>
      </c>
      <c r="S3" s="51" t="s">
        <v>410</v>
      </c>
      <c r="T3" s="51" t="s">
        <v>411</v>
      </c>
      <c r="U3" s="51" t="s">
        <v>411</v>
      </c>
      <c r="V3" s="51" t="s">
        <v>412</v>
      </c>
      <c r="W3" s="36">
        <v>2</v>
      </c>
      <c r="X3" s="52" t="s">
        <v>27</v>
      </c>
      <c r="Y3" s="52" t="s">
        <v>35</v>
      </c>
    </row>
    <row r="4" spans="1:25" ht="16.5" customHeight="1" x14ac:dyDescent="0.15">
      <c r="A4" s="2">
        <v>44929</v>
      </c>
      <c r="B4" s="3">
        <f t="shared" si="1"/>
        <v>46069</v>
      </c>
      <c r="C4" s="48" t="s">
        <v>19</v>
      </c>
      <c r="D4" s="49">
        <f t="shared" si="0"/>
        <v>4</v>
      </c>
      <c r="E4" s="21">
        <v>2</v>
      </c>
      <c r="F4" s="21"/>
      <c r="G4" s="21">
        <v>1</v>
      </c>
      <c r="H4" s="21"/>
      <c r="I4" s="21">
        <v>1</v>
      </c>
      <c r="J4" s="36"/>
      <c r="K4" s="36"/>
      <c r="L4" s="36"/>
      <c r="M4" s="36"/>
      <c r="N4" s="36"/>
      <c r="O4" s="36"/>
      <c r="P4" s="36"/>
      <c r="Q4" s="36" t="s">
        <v>26</v>
      </c>
      <c r="R4" s="51" t="s">
        <v>412</v>
      </c>
      <c r="S4" s="51" t="s">
        <v>420</v>
      </c>
      <c r="T4" s="53"/>
      <c r="U4" s="51" t="s">
        <v>420</v>
      </c>
      <c r="V4" s="51" t="s">
        <v>421</v>
      </c>
      <c r="W4" s="36">
        <v>3</v>
      </c>
      <c r="X4" s="52" t="s">
        <v>27</v>
      </c>
      <c r="Y4" s="52" t="s">
        <v>42</v>
      </c>
    </row>
    <row r="5" spans="1:25" ht="14" customHeight="1" x14ac:dyDescent="0.15">
      <c r="A5" s="2">
        <v>44930</v>
      </c>
      <c r="B5" s="3">
        <f t="shared" si="1"/>
        <v>46076</v>
      </c>
      <c r="C5" s="48" t="s">
        <v>29</v>
      </c>
      <c r="D5" s="49">
        <f t="shared" si="0"/>
        <v>5</v>
      </c>
      <c r="E5" s="26">
        <v>2</v>
      </c>
      <c r="F5" s="26"/>
      <c r="G5" s="26">
        <v>1</v>
      </c>
      <c r="H5" s="26"/>
      <c r="I5" s="26">
        <v>2</v>
      </c>
      <c r="J5" s="54"/>
      <c r="K5" s="54"/>
      <c r="L5" s="54"/>
      <c r="M5" s="54"/>
      <c r="N5" s="54"/>
      <c r="O5" s="54"/>
      <c r="P5" s="54"/>
      <c r="Q5" s="54"/>
      <c r="R5" s="51" t="s">
        <v>421</v>
      </c>
      <c r="S5" s="51" t="s">
        <v>427</v>
      </c>
      <c r="T5" s="51" t="s">
        <v>428</v>
      </c>
      <c r="U5" s="51" t="s">
        <v>429</v>
      </c>
      <c r="V5" s="51" t="s">
        <v>430</v>
      </c>
      <c r="W5" s="36">
        <v>4</v>
      </c>
      <c r="X5" s="52" t="s">
        <v>47</v>
      </c>
      <c r="Y5" s="52" t="s">
        <v>49</v>
      </c>
    </row>
    <row r="6" spans="1:25" ht="14" customHeight="1" x14ac:dyDescent="0.15">
      <c r="A6" s="2">
        <v>44931</v>
      </c>
      <c r="B6" s="3">
        <f t="shared" si="1"/>
        <v>46083</v>
      </c>
      <c r="C6" s="48" t="s">
        <v>19</v>
      </c>
      <c r="D6" s="49">
        <f t="shared" si="0"/>
        <v>4</v>
      </c>
      <c r="E6" s="21">
        <v>2</v>
      </c>
      <c r="F6" s="21"/>
      <c r="G6" s="21">
        <v>1</v>
      </c>
      <c r="H6" s="21"/>
      <c r="I6" s="21">
        <v>1</v>
      </c>
      <c r="J6" s="36"/>
      <c r="K6" s="36"/>
      <c r="L6" s="36"/>
      <c r="M6" s="36"/>
      <c r="N6" s="36"/>
      <c r="O6" s="36"/>
      <c r="P6" s="36"/>
      <c r="Q6" s="36" t="s">
        <v>26</v>
      </c>
      <c r="R6" s="51" t="s">
        <v>438</v>
      </c>
      <c r="S6" s="51" t="s">
        <v>438</v>
      </c>
      <c r="T6" s="53"/>
      <c r="U6" s="55" t="s">
        <v>439</v>
      </c>
      <c r="V6" s="55"/>
      <c r="W6" s="36">
        <v>5</v>
      </c>
      <c r="X6" s="52" t="s">
        <v>47</v>
      </c>
      <c r="Y6" s="52" t="s">
        <v>54</v>
      </c>
    </row>
    <row r="7" spans="1:25" ht="14" customHeight="1" x14ac:dyDescent="0.15">
      <c r="A7" s="2">
        <v>44932</v>
      </c>
      <c r="B7" s="3">
        <f t="shared" si="1"/>
        <v>46090</v>
      </c>
      <c r="C7" s="48" t="s">
        <v>29</v>
      </c>
      <c r="D7" s="49">
        <f t="shared" si="0"/>
        <v>3</v>
      </c>
      <c r="E7" s="22" t="s">
        <v>55</v>
      </c>
      <c r="F7" s="21"/>
      <c r="G7" s="26">
        <v>1</v>
      </c>
      <c r="H7" s="26"/>
      <c r="I7" s="26">
        <v>2</v>
      </c>
      <c r="J7" s="36"/>
      <c r="K7" s="22" t="s">
        <v>55</v>
      </c>
      <c r="L7" s="22" t="s">
        <v>55</v>
      </c>
      <c r="M7" s="21"/>
      <c r="N7" s="36"/>
      <c r="O7" s="36"/>
      <c r="P7" s="36"/>
      <c r="Q7" s="36"/>
      <c r="R7" s="51" t="s">
        <v>430</v>
      </c>
      <c r="S7" s="51" t="s">
        <v>444</v>
      </c>
      <c r="T7" s="51" t="s">
        <v>444</v>
      </c>
      <c r="U7" s="51" t="s">
        <v>445</v>
      </c>
      <c r="V7" s="51" t="s">
        <v>445</v>
      </c>
      <c r="W7" s="36">
        <v>6</v>
      </c>
      <c r="X7" s="52" t="s">
        <v>47</v>
      </c>
      <c r="Y7" s="52" t="s">
        <v>61</v>
      </c>
    </row>
    <row r="8" spans="1:25" ht="14" customHeight="1" x14ac:dyDescent="0.15">
      <c r="A8" s="2">
        <v>44933</v>
      </c>
      <c r="B8" s="3">
        <f t="shared" si="1"/>
        <v>46097</v>
      </c>
      <c r="C8" s="48" t="s">
        <v>19</v>
      </c>
      <c r="D8" s="49">
        <f t="shared" si="0"/>
        <v>4</v>
      </c>
      <c r="E8" s="21">
        <v>2</v>
      </c>
      <c r="F8" s="21"/>
      <c r="G8" s="21">
        <v>1</v>
      </c>
      <c r="H8" s="21"/>
      <c r="I8" s="21">
        <v>1</v>
      </c>
      <c r="J8" s="36"/>
      <c r="K8" s="36"/>
      <c r="L8" s="36"/>
      <c r="M8" s="36"/>
      <c r="N8" s="36"/>
      <c r="O8" s="36"/>
      <c r="P8" s="36" t="s">
        <v>453</v>
      </c>
      <c r="Q8" s="36" t="s">
        <v>26</v>
      </c>
      <c r="R8" s="51" t="s">
        <v>452</v>
      </c>
      <c r="S8" s="51" t="s">
        <v>453</v>
      </c>
      <c r="T8" s="53"/>
      <c r="U8" s="56" t="s">
        <v>454</v>
      </c>
      <c r="V8" s="56" t="s">
        <v>454</v>
      </c>
      <c r="W8" s="36">
        <v>7</v>
      </c>
      <c r="X8" s="52" t="s">
        <v>47</v>
      </c>
      <c r="Y8" s="52" t="s">
        <v>67</v>
      </c>
    </row>
    <row r="9" spans="1:25" ht="14" customHeight="1" x14ac:dyDescent="0.15">
      <c r="A9" s="2">
        <v>44934</v>
      </c>
      <c r="B9" s="3">
        <f t="shared" si="1"/>
        <v>46104</v>
      </c>
      <c r="C9" s="48" t="s">
        <v>29</v>
      </c>
      <c r="D9" s="49">
        <f t="shared" si="0"/>
        <v>3</v>
      </c>
      <c r="E9" s="21">
        <v>2</v>
      </c>
      <c r="F9" s="21"/>
      <c r="G9" s="21">
        <v>1</v>
      </c>
      <c r="H9" s="21"/>
      <c r="I9" s="22" t="s">
        <v>69</v>
      </c>
      <c r="J9" s="36"/>
      <c r="K9" s="36"/>
      <c r="L9" s="36"/>
      <c r="M9" s="36"/>
      <c r="N9" s="36"/>
      <c r="O9" s="36"/>
      <c r="P9" s="22" t="s">
        <v>69</v>
      </c>
      <c r="Q9" s="22" t="s">
        <v>69</v>
      </c>
      <c r="R9" s="56" t="s">
        <v>460</v>
      </c>
      <c r="S9" s="56" t="s">
        <v>460</v>
      </c>
      <c r="T9" s="56" t="s">
        <v>461</v>
      </c>
      <c r="U9" s="56" t="s">
        <v>461</v>
      </c>
      <c r="V9" s="51" t="s">
        <v>462</v>
      </c>
      <c r="W9" s="36">
        <v>8</v>
      </c>
      <c r="X9" s="52" t="s">
        <v>47</v>
      </c>
      <c r="Y9" s="52" t="s">
        <v>74</v>
      </c>
    </row>
    <row r="10" spans="1:25" ht="14" customHeight="1" x14ac:dyDescent="0.15">
      <c r="A10" s="2">
        <v>44935</v>
      </c>
      <c r="B10" s="3">
        <f t="shared" si="1"/>
        <v>46111</v>
      </c>
      <c r="C10" s="48" t="s">
        <v>19</v>
      </c>
      <c r="D10" s="49">
        <f t="shared" si="0"/>
        <v>3</v>
      </c>
      <c r="E10" s="21">
        <v>2</v>
      </c>
      <c r="F10" s="22" t="s">
        <v>75</v>
      </c>
      <c r="G10" s="21">
        <v>1</v>
      </c>
      <c r="H10" s="21"/>
      <c r="I10" s="22" t="s">
        <v>76</v>
      </c>
      <c r="J10" s="36"/>
      <c r="K10" s="36"/>
      <c r="L10" s="36"/>
      <c r="M10" s="22" t="s">
        <v>75</v>
      </c>
      <c r="N10" s="36" t="s">
        <v>470</v>
      </c>
      <c r="O10" s="36"/>
      <c r="P10" s="22" t="s">
        <v>76</v>
      </c>
      <c r="Q10" s="22" t="s">
        <v>76</v>
      </c>
      <c r="R10" s="57" t="s">
        <v>469</v>
      </c>
      <c r="S10" s="58" t="s">
        <v>470</v>
      </c>
      <c r="T10" s="53"/>
      <c r="U10" s="56" t="s">
        <v>471</v>
      </c>
      <c r="V10" s="56" t="s">
        <v>471</v>
      </c>
      <c r="W10" s="36">
        <v>9</v>
      </c>
      <c r="X10" s="52" t="s">
        <v>47</v>
      </c>
      <c r="Y10" s="52" t="s">
        <v>83</v>
      </c>
    </row>
    <row r="11" spans="1:25" ht="14" customHeight="1" x14ac:dyDescent="0.15">
      <c r="A11" s="4"/>
      <c r="B11" s="5"/>
      <c r="C11" s="30"/>
      <c r="D11" s="59">
        <f t="shared" si="0"/>
        <v>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6"/>
      <c r="S11" s="36"/>
      <c r="T11" s="36"/>
      <c r="U11" s="36"/>
      <c r="V11" s="36"/>
      <c r="W11" s="36">
        <v>10</v>
      </c>
      <c r="X11" s="52" t="s">
        <v>47</v>
      </c>
      <c r="Y11" s="52" t="s">
        <v>85</v>
      </c>
    </row>
    <row r="12" spans="1:25" ht="14" customHeight="1" x14ac:dyDescent="0.15">
      <c r="A12" s="6">
        <v>44958</v>
      </c>
      <c r="B12" s="7">
        <f>B10+21</f>
        <v>46132</v>
      </c>
      <c r="C12" s="48" t="s">
        <v>29</v>
      </c>
      <c r="D12" s="49">
        <f t="shared" si="0"/>
        <v>3</v>
      </c>
      <c r="E12" s="22" t="s">
        <v>86</v>
      </c>
      <c r="F12" s="21"/>
      <c r="G12" s="21">
        <v>1</v>
      </c>
      <c r="H12" s="21"/>
      <c r="I12" s="21">
        <v>2</v>
      </c>
      <c r="J12" s="36"/>
      <c r="K12" s="22" t="s">
        <v>86</v>
      </c>
      <c r="L12" s="21"/>
      <c r="M12" s="21"/>
      <c r="N12" s="21"/>
      <c r="O12" s="21"/>
      <c r="P12" s="21"/>
      <c r="Q12" s="21"/>
      <c r="R12" s="56" t="s">
        <v>480</v>
      </c>
      <c r="S12" s="56" t="s">
        <v>480</v>
      </c>
      <c r="T12" s="56" t="s">
        <v>481</v>
      </c>
      <c r="U12" s="56" t="s">
        <v>481</v>
      </c>
      <c r="V12" s="56" t="s">
        <v>482</v>
      </c>
      <c r="W12" s="36">
        <v>11</v>
      </c>
      <c r="X12" s="52" t="s">
        <v>47</v>
      </c>
      <c r="Y12" s="52" t="s">
        <v>91</v>
      </c>
    </row>
    <row r="13" spans="1:25" ht="14" customHeight="1" x14ac:dyDescent="0.15">
      <c r="A13" s="6">
        <v>44959</v>
      </c>
      <c r="B13" s="8">
        <f t="shared" ref="B13:B21" si="2">B12+7</f>
        <v>46139</v>
      </c>
      <c r="C13" s="48" t="s">
        <v>19</v>
      </c>
      <c r="D13" s="49">
        <f t="shared" si="0"/>
        <v>4</v>
      </c>
      <c r="E13" s="21">
        <v>2</v>
      </c>
      <c r="F13" s="21"/>
      <c r="G13" s="21">
        <v>1</v>
      </c>
      <c r="H13" s="21"/>
      <c r="I13" s="21">
        <v>1</v>
      </c>
      <c r="J13" s="36"/>
      <c r="K13" s="36"/>
      <c r="L13" s="36"/>
      <c r="M13" s="36"/>
      <c r="N13" s="36"/>
      <c r="O13" s="36"/>
      <c r="P13" s="36"/>
      <c r="Q13" s="36" t="s">
        <v>26</v>
      </c>
      <c r="R13" s="56" t="s">
        <v>482</v>
      </c>
      <c r="S13" s="56" t="s">
        <v>490</v>
      </c>
      <c r="T13" s="53" t="s">
        <v>491</v>
      </c>
      <c r="U13" s="56" t="s">
        <v>492</v>
      </c>
      <c r="V13" s="56" t="s">
        <v>493</v>
      </c>
      <c r="W13" s="36">
        <v>12</v>
      </c>
      <c r="X13" s="52" t="s">
        <v>97</v>
      </c>
      <c r="Y13" s="52" t="s">
        <v>99</v>
      </c>
    </row>
    <row r="14" spans="1:25" ht="14" customHeight="1" x14ac:dyDescent="0.15">
      <c r="A14" s="6">
        <v>44960</v>
      </c>
      <c r="B14" s="8">
        <f t="shared" si="2"/>
        <v>46146</v>
      </c>
      <c r="C14" s="48" t="s">
        <v>29</v>
      </c>
      <c r="D14" s="49">
        <f t="shared" si="0"/>
        <v>5</v>
      </c>
      <c r="E14" s="21">
        <v>2</v>
      </c>
      <c r="F14" s="21"/>
      <c r="G14" s="21">
        <v>1</v>
      </c>
      <c r="H14" s="21"/>
      <c r="I14" s="21">
        <v>2</v>
      </c>
      <c r="J14" s="36"/>
      <c r="K14" s="36"/>
      <c r="L14" s="36"/>
      <c r="M14" s="36"/>
      <c r="N14" s="36"/>
      <c r="O14" s="36"/>
      <c r="P14" s="36"/>
      <c r="Q14" s="36"/>
      <c r="R14" s="56" t="s">
        <v>492</v>
      </c>
      <c r="S14" s="56" t="s">
        <v>490</v>
      </c>
      <c r="T14" s="56" t="s">
        <v>500</v>
      </c>
      <c r="U14" s="36"/>
      <c r="V14" s="36"/>
      <c r="W14" s="36">
        <v>13</v>
      </c>
      <c r="X14" s="52" t="s">
        <v>97</v>
      </c>
      <c r="Y14" s="52" t="s">
        <v>105</v>
      </c>
    </row>
    <row r="15" spans="1:25" ht="14" customHeight="1" x14ac:dyDescent="0.15">
      <c r="A15" s="6">
        <v>44961</v>
      </c>
      <c r="B15" s="8">
        <f t="shared" si="2"/>
        <v>46153</v>
      </c>
      <c r="C15" s="48" t="s">
        <v>19</v>
      </c>
      <c r="D15" s="49">
        <f t="shared" si="0"/>
        <v>4</v>
      </c>
      <c r="E15" s="21">
        <v>2</v>
      </c>
      <c r="F15" s="21"/>
      <c r="G15" s="21">
        <v>1</v>
      </c>
      <c r="H15" s="21"/>
      <c r="I15" s="21">
        <v>1</v>
      </c>
      <c r="J15" s="36"/>
      <c r="K15" s="21" t="s">
        <v>503</v>
      </c>
      <c r="L15" s="36"/>
      <c r="M15" s="36"/>
      <c r="N15" s="36"/>
      <c r="O15" s="36"/>
      <c r="P15" s="36"/>
      <c r="Q15" s="36" t="s">
        <v>26</v>
      </c>
      <c r="R15" s="36"/>
      <c r="S15" s="58" t="s">
        <v>509</v>
      </c>
      <c r="T15" s="53"/>
      <c r="U15" s="60" t="s">
        <v>510</v>
      </c>
      <c r="V15" s="60" t="s">
        <v>511</v>
      </c>
      <c r="W15" s="36">
        <v>14</v>
      </c>
      <c r="X15" s="52" t="s">
        <v>111</v>
      </c>
      <c r="Y15" s="52" t="s">
        <v>113</v>
      </c>
    </row>
    <row r="16" spans="1:25" ht="14" customHeight="1" x14ac:dyDescent="0.15">
      <c r="A16" s="6">
        <v>44962</v>
      </c>
      <c r="B16" s="8">
        <f t="shared" si="2"/>
        <v>46160</v>
      </c>
      <c r="C16" s="48" t="s">
        <v>29</v>
      </c>
      <c r="D16" s="49">
        <f t="shared" si="0"/>
        <v>5</v>
      </c>
      <c r="E16" s="26">
        <v>2</v>
      </c>
      <c r="F16" s="26"/>
      <c r="G16" s="21">
        <v>1</v>
      </c>
      <c r="H16" s="21"/>
      <c r="I16" s="21">
        <v>2</v>
      </c>
      <c r="J16" s="36"/>
      <c r="K16" s="61"/>
      <c r="L16" s="61"/>
      <c r="M16" s="61"/>
      <c r="N16" s="61"/>
      <c r="O16" s="61"/>
      <c r="P16" s="61"/>
      <c r="Q16" s="54"/>
      <c r="R16" s="60" t="s">
        <v>517</v>
      </c>
      <c r="S16" s="60" t="s">
        <v>518</v>
      </c>
      <c r="T16" s="53"/>
      <c r="U16" s="60" t="s">
        <v>518</v>
      </c>
      <c r="V16" s="60" t="s">
        <v>519</v>
      </c>
      <c r="W16" s="36">
        <v>15</v>
      </c>
      <c r="X16" s="52" t="s">
        <v>111</v>
      </c>
      <c r="Y16" s="52" t="s">
        <v>115</v>
      </c>
    </row>
    <row r="17" spans="1:27" ht="14" customHeight="1" x14ac:dyDescent="0.15">
      <c r="A17" s="6">
        <v>44963</v>
      </c>
      <c r="B17" s="8">
        <f t="shared" si="2"/>
        <v>46167</v>
      </c>
      <c r="C17" s="48" t="s">
        <v>19</v>
      </c>
      <c r="D17" s="49">
        <f t="shared" si="0"/>
        <v>3</v>
      </c>
      <c r="E17" s="21">
        <v>2</v>
      </c>
      <c r="F17" s="21"/>
      <c r="G17" s="21">
        <v>1</v>
      </c>
      <c r="H17" s="21"/>
      <c r="I17" s="20" t="s">
        <v>116</v>
      </c>
      <c r="J17" s="36"/>
      <c r="K17" s="36"/>
      <c r="L17" s="36"/>
      <c r="M17" s="36"/>
      <c r="N17" s="36"/>
      <c r="O17" s="36"/>
      <c r="P17" s="20" t="s">
        <v>116</v>
      </c>
      <c r="Q17" s="20" t="s">
        <v>116</v>
      </c>
      <c r="R17" s="60"/>
      <c r="S17" s="60"/>
      <c r="T17" s="60"/>
      <c r="U17" s="60"/>
      <c r="V17" s="60"/>
      <c r="W17" s="36">
        <v>16</v>
      </c>
      <c r="X17" s="52" t="s">
        <v>111</v>
      </c>
      <c r="Y17" s="52" t="s">
        <v>123</v>
      </c>
      <c r="Z17" s="36"/>
      <c r="AA17" s="36"/>
    </row>
    <row r="18" spans="1:27" ht="14" customHeight="1" x14ac:dyDescent="0.15">
      <c r="A18" s="6">
        <v>44964</v>
      </c>
      <c r="B18" s="8">
        <f t="shared" si="2"/>
        <v>46174</v>
      </c>
      <c r="C18" s="48" t="s">
        <v>29</v>
      </c>
      <c r="D18" s="49">
        <f t="shared" si="0"/>
        <v>5</v>
      </c>
      <c r="E18" s="21">
        <v>2</v>
      </c>
      <c r="F18" s="21"/>
      <c r="G18" s="21">
        <v>1</v>
      </c>
      <c r="H18" s="21"/>
      <c r="I18" s="21">
        <v>2</v>
      </c>
      <c r="J18" s="36"/>
      <c r="K18" s="36"/>
      <c r="L18" s="36"/>
      <c r="M18" s="36"/>
      <c r="N18" s="36"/>
      <c r="O18" s="36"/>
      <c r="P18" s="21"/>
      <c r="Q18" s="36"/>
      <c r="R18" s="60" t="s">
        <v>519</v>
      </c>
      <c r="S18" s="60" t="s">
        <v>531</v>
      </c>
      <c r="T18" s="60" t="s">
        <v>531</v>
      </c>
      <c r="U18" s="60" t="s">
        <v>532</v>
      </c>
      <c r="V18" s="60" t="s">
        <v>532</v>
      </c>
      <c r="W18" s="36">
        <v>17</v>
      </c>
      <c r="X18" s="52" t="s">
        <v>111</v>
      </c>
      <c r="Y18" s="52" t="s">
        <v>130</v>
      </c>
      <c r="Z18" s="36"/>
      <c r="AA18" s="36"/>
    </row>
    <row r="19" spans="1:27" ht="14" customHeight="1" x14ac:dyDescent="0.15">
      <c r="A19" s="6">
        <v>44965</v>
      </c>
      <c r="B19" s="8">
        <f t="shared" si="2"/>
        <v>46181</v>
      </c>
      <c r="C19" s="48" t="s">
        <v>19</v>
      </c>
      <c r="D19" s="49">
        <f t="shared" si="0"/>
        <v>3</v>
      </c>
      <c r="E19" s="20" t="s">
        <v>131</v>
      </c>
      <c r="F19" s="21"/>
      <c r="G19" s="21">
        <v>1</v>
      </c>
      <c r="H19" s="21"/>
      <c r="I19" s="21">
        <v>2</v>
      </c>
      <c r="J19" s="36"/>
      <c r="K19" s="20" t="s">
        <v>131</v>
      </c>
      <c r="L19" s="20" t="s">
        <v>131</v>
      </c>
      <c r="M19" s="36"/>
      <c r="N19" s="36"/>
      <c r="O19" s="36"/>
      <c r="P19" s="36"/>
      <c r="Q19" s="36" t="s">
        <v>26</v>
      </c>
      <c r="R19" s="58" t="s">
        <v>537</v>
      </c>
      <c r="S19" s="62" t="s">
        <v>538</v>
      </c>
      <c r="T19" s="53"/>
      <c r="U19" s="62" t="s">
        <v>539</v>
      </c>
      <c r="V19" s="62" t="s">
        <v>540</v>
      </c>
      <c r="W19" s="36">
        <v>18</v>
      </c>
      <c r="X19" s="52" t="s">
        <v>111</v>
      </c>
      <c r="Y19" s="52" t="s">
        <v>135</v>
      </c>
      <c r="Z19" s="36"/>
      <c r="AA19" s="36"/>
    </row>
    <row r="20" spans="1:27" ht="14" customHeight="1" x14ac:dyDescent="0.15">
      <c r="A20" s="6">
        <v>44966</v>
      </c>
      <c r="B20" s="8">
        <f t="shared" si="2"/>
        <v>46188</v>
      </c>
      <c r="C20" s="48" t="s">
        <v>29</v>
      </c>
      <c r="D20" s="49">
        <f t="shared" si="0"/>
        <v>4</v>
      </c>
      <c r="E20" s="21">
        <v>2</v>
      </c>
      <c r="F20" s="20" t="s">
        <v>136</v>
      </c>
      <c r="G20" s="21">
        <v>1</v>
      </c>
      <c r="H20" s="21"/>
      <c r="I20" s="21">
        <v>1</v>
      </c>
      <c r="J20" s="36"/>
      <c r="K20" s="20" t="s">
        <v>543</v>
      </c>
      <c r="L20" s="20" t="s">
        <v>543</v>
      </c>
      <c r="M20" s="20" t="s">
        <v>136</v>
      </c>
      <c r="N20" s="20" t="s">
        <v>543</v>
      </c>
      <c r="O20" s="20" t="s">
        <v>543</v>
      </c>
      <c r="P20" s="20" t="s">
        <v>543</v>
      </c>
      <c r="Q20" s="20" t="s">
        <v>543</v>
      </c>
      <c r="R20" s="36"/>
      <c r="S20" s="36"/>
      <c r="T20" s="36"/>
      <c r="U20" s="36"/>
      <c r="V20" s="36"/>
      <c r="W20" s="36">
        <v>19</v>
      </c>
      <c r="X20" s="52" t="s">
        <v>111</v>
      </c>
      <c r="Y20" s="52" t="s">
        <v>142</v>
      </c>
      <c r="Z20" s="36"/>
      <c r="AA20" s="36"/>
    </row>
    <row r="21" spans="1:27" ht="14" customHeight="1" x14ac:dyDescent="0.15">
      <c r="A21" s="6">
        <v>44967</v>
      </c>
      <c r="B21" s="8">
        <f t="shared" si="2"/>
        <v>46195</v>
      </c>
      <c r="C21" s="48" t="s">
        <v>19</v>
      </c>
      <c r="D21" s="49">
        <f t="shared" si="0"/>
        <v>0</v>
      </c>
      <c r="E21" s="20" t="s">
        <v>543</v>
      </c>
      <c r="F21" s="22" t="s">
        <v>143</v>
      </c>
      <c r="G21" s="22" t="s">
        <v>143</v>
      </c>
      <c r="H21" s="22" t="s">
        <v>143</v>
      </c>
      <c r="I21" s="22" t="s">
        <v>143</v>
      </c>
      <c r="J21" s="36"/>
      <c r="K21" s="20" t="s">
        <v>543</v>
      </c>
      <c r="L21" s="22" t="s">
        <v>143</v>
      </c>
      <c r="M21" s="22" t="s">
        <v>143</v>
      </c>
      <c r="N21" s="22" t="s">
        <v>143</v>
      </c>
      <c r="O21" s="22" t="s">
        <v>143</v>
      </c>
      <c r="P21" s="22" t="s">
        <v>143</v>
      </c>
      <c r="Q21" s="22" t="s">
        <v>143</v>
      </c>
      <c r="R21" s="62" t="s">
        <v>540</v>
      </c>
      <c r="S21" s="62" t="s">
        <v>545</v>
      </c>
      <c r="T21" s="53"/>
      <c r="U21" s="62" t="s">
        <v>546</v>
      </c>
      <c r="V21" s="62"/>
      <c r="W21" s="36">
        <v>20</v>
      </c>
      <c r="X21" s="52" t="s">
        <v>145</v>
      </c>
      <c r="Y21" s="52" t="s">
        <v>147</v>
      </c>
      <c r="Z21" s="36"/>
      <c r="AA21" s="36"/>
    </row>
    <row r="22" spans="1:27" ht="14" customHeight="1" x14ac:dyDescent="0.15">
      <c r="A22" s="11"/>
      <c r="B22" s="12"/>
      <c r="C22" s="30"/>
      <c r="D22" s="5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62" t="s">
        <v>549</v>
      </c>
      <c r="S22" s="62" t="s">
        <v>550</v>
      </c>
      <c r="T22" s="62" t="s">
        <v>551</v>
      </c>
      <c r="U22" s="62" t="s">
        <v>552</v>
      </c>
      <c r="V22" s="62" t="s">
        <v>553</v>
      </c>
      <c r="W22" s="36">
        <v>21</v>
      </c>
      <c r="X22" s="52" t="s">
        <v>145</v>
      </c>
      <c r="Y22" s="52" t="s">
        <v>149</v>
      </c>
      <c r="Z22" s="36"/>
      <c r="AA22" s="36"/>
    </row>
    <row r="23" spans="1:27" ht="14" customHeight="1" x14ac:dyDescent="0.15">
      <c r="A23" s="9">
        <v>44986</v>
      </c>
      <c r="B23" s="3">
        <f>B21+28</f>
        <v>46223</v>
      </c>
      <c r="C23" s="48" t="s">
        <v>29</v>
      </c>
      <c r="D23" s="49">
        <f t="shared" ref="D23:D29" si="3">SUM(E23:I23)</f>
        <v>2</v>
      </c>
      <c r="E23" s="22" t="s">
        <v>86</v>
      </c>
      <c r="F23" s="21"/>
      <c r="G23" s="21">
        <v>1</v>
      </c>
      <c r="H23" s="21"/>
      <c r="I23" s="21">
        <v>1</v>
      </c>
      <c r="J23" s="36"/>
      <c r="K23" s="22" t="s">
        <v>86</v>
      </c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>
        <v>22</v>
      </c>
      <c r="X23" s="52" t="s">
        <v>145</v>
      </c>
      <c r="Y23" s="52" t="s">
        <v>155</v>
      </c>
      <c r="Z23" s="36"/>
      <c r="AA23" s="36"/>
    </row>
    <row r="24" spans="1:27" ht="14" customHeight="1" x14ac:dyDescent="0.15">
      <c r="A24" s="9">
        <v>44987</v>
      </c>
      <c r="B24" s="3">
        <f t="shared" ref="B24:B31" si="4">B23+7</f>
        <v>46230</v>
      </c>
      <c r="C24" s="48" t="s">
        <v>19</v>
      </c>
      <c r="D24" s="49">
        <f t="shared" si="3"/>
        <v>5</v>
      </c>
      <c r="E24" s="21">
        <v>2</v>
      </c>
      <c r="F24" s="21"/>
      <c r="G24" s="21">
        <v>1</v>
      </c>
      <c r="H24" s="21"/>
      <c r="I24" s="34">
        <v>2</v>
      </c>
      <c r="J24" s="36"/>
      <c r="K24" s="36"/>
      <c r="L24" s="36"/>
      <c r="M24" s="36"/>
      <c r="N24" s="63"/>
      <c r="O24" s="63"/>
      <c r="P24" s="36"/>
      <c r="Q24" s="36" t="s">
        <v>26</v>
      </c>
      <c r="R24" s="60" t="s">
        <v>511</v>
      </c>
      <c r="S24" s="60"/>
      <c r="T24" s="60" t="s">
        <v>566</v>
      </c>
      <c r="U24" s="60" t="s">
        <v>567</v>
      </c>
      <c r="V24" s="60" t="s">
        <v>568</v>
      </c>
      <c r="W24" s="36">
        <v>23</v>
      </c>
      <c r="X24" s="52" t="s">
        <v>145</v>
      </c>
      <c r="Y24" s="52" t="s">
        <v>162</v>
      </c>
      <c r="Z24" s="36"/>
      <c r="AA24" s="36"/>
    </row>
    <row r="25" spans="1:27" ht="14" customHeight="1" x14ac:dyDescent="0.15">
      <c r="A25" s="9">
        <v>44988</v>
      </c>
      <c r="B25" s="3">
        <f t="shared" si="4"/>
        <v>46237</v>
      </c>
      <c r="C25" s="48" t="s">
        <v>29</v>
      </c>
      <c r="D25" s="49">
        <f t="shared" si="3"/>
        <v>4</v>
      </c>
      <c r="E25" s="21">
        <v>2</v>
      </c>
      <c r="F25" s="21"/>
      <c r="G25" s="21">
        <v>1</v>
      </c>
      <c r="H25" s="21"/>
      <c r="I25" s="21">
        <v>1</v>
      </c>
      <c r="J25" s="36"/>
      <c r="K25" s="36"/>
      <c r="L25" s="36"/>
      <c r="M25" s="36"/>
      <c r="N25" s="36"/>
      <c r="O25" s="36"/>
      <c r="P25" s="36"/>
      <c r="Q25" s="54"/>
      <c r="R25" s="53"/>
      <c r="S25" s="53"/>
      <c r="T25" s="53"/>
      <c r="U25" s="53"/>
      <c r="V25" s="53"/>
      <c r="W25" s="36">
        <v>24</v>
      </c>
      <c r="X25" s="52" t="s">
        <v>145</v>
      </c>
      <c r="Y25" s="52" t="s">
        <v>168</v>
      </c>
      <c r="Z25" s="36"/>
      <c r="AA25" s="36"/>
    </row>
    <row r="26" spans="1:27" ht="14" customHeight="1" x14ac:dyDescent="0.15">
      <c r="A26" s="9">
        <v>44989</v>
      </c>
      <c r="B26" s="3">
        <f t="shared" si="4"/>
        <v>46244</v>
      </c>
      <c r="C26" s="48" t="s">
        <v>19</v>
      </c>
      <c r="D26" s="49">
        <f t="shared" si="3"/>
        <v>5</v>
      </c>
      <c r="E26" s="21">
        <v>2</v>
      </c>
      <c r="F26" s="20" t="s">
        <v>169</v>
      </c>
      <c r="G26" s="21">
        <v>1</v>
      </c>
      <c r="H26" s="21"/>
      <c r="I26" s="21">
        <v>2</v>
      </c>
      <c r="J26" s="36"/>
      <c r="K26" s="36"/>
      <c r="L26" s="36"/>
      <c r="M26" s="20" t="s">
        <v>169</v>
      </c>
      <c r="N26" s="36"/>
      <c r="O26" s="36"/>
      <c r="P26" s="21"/>
      <c r="Q26" s="36" t="s">
        <v>26</v>
      </c>
      <c r="R26" s="62" t="s">
        <v>581</v>
      </c>
      <c r="S26" s="62" t="s">
        <v>582</v>
      </c>
      <c r="T26" s="53"/>
      <c r="U26" s="62" t="s">
        <v>583</v>
      </c>
      <c r="V26" s="62" t="s">
        <v>584</v>
      </c>
      <c r="W26" s="36">
        <v>25</v>
      </c>
      <c r="X26" s="52" t="s">
        <v>173</v>
      </c>
      <c r="Y26" s="52" t="s">
        <v>175</v>
      </c>
      <c r="Z26" s="36"/>
      <c r="AA26" s="36" t="s">
        <v>176</v>
      </c>
    </row>
    <row r="27" spans="1:27" ht="14" customHeight="1" x14ac:dyDescent="0.15">
      <c r="A27" s="9">
        <v>44990</v>
      </c>
      <c r="B27" s="3">
        <f t="shared" si="4"/>
        <v>46251</v>
      </c>
      <c r="C27" s="48" t="s">
        <v>29</v>
      </c>
      <c r="D27" s="49">
        <f t="shared" si="3"/>
        <v>4</v>
      </c>
      <c r="E27" s="21">
        <v>2</v>
      </c>
      <c r="F27" s="21"/>
      <c r="G27" s="21">
        <v>1</v>
      </c>
      <c r="H27" s="21"/>
      <c r="I27" s="21">
        <v>1</v>
      </c>
      <c r="J27" s="36"/>
      <c r="K27" s="20" t="s">
        <v>587</v>
      </c>
      <c r="L27" s="36"/>
      <c r="M27" s="36"/>
      <c r="N27" s="36"/>
      <c r="O27" s="36"/>
      <c r="P27" s="36"/>
      <c r="Q27" s="36"/>
      <c r="R27" s="62" t="s">
        <v>592</v>
      </c>
      <c r="S27" s="62" t="s">
        <v>593</v>
      </c>
      <c r="T27" s="62" t="s">
        <v>583</v>
      </c>
      <c r="U27" s="62" t="s">
        <v>594</v>
      </c>
      <c r="V27" s="62" t="s">
        <v>595</v>
      </c>
      <c r="W27" s="36">
        <v>26</v>
      </c>
      <c r="X27" s="52" t="s">
        <v>173</v>
      </c>
      <c r="Y27" s="52" t="s">
        <v>180</v>
      </c>
      <c r="Z27" s="36"/>
      <c r="AA27" s="36"/>
    </row>
    <row r="28" spans="1:27" ht="14" customHeight="1" x14ac:dyDescent="0.15">
      <c r="A28" s="9">
        <v>44991</v>
      </c>
      <c r="B28" s="3">
        <f t="shared" si="4"/>
        <v>46258</v>
      </c>
      <c r="C28" s="48" t="s">
        <v>19</v>
      </c>
      <c r="D28" s="49">
        <f t="shared" si="3"/>
        <v>5</v>
      </c>
      <c r="E28" s="21">
        <v>2</v>
      </c>
      <c r="F28" s="21"/>
      <c r="G28" s="21">
        <v>1</v>
      </c>
      <c r="H28" s="21"/>
      <c r="I28" s="34">
        <v>2</v>
      </c>
      <c r="J28" s="36"/>
      <c r="K28" s="36"/>
      <c r="L28" s="36"/>
      <c r="M28" s="36"/>
      <c r="N28" s="36"/>
      <c r="O28" s="36"/>
      <c r="P28" s="36"/>
      <c r="Q28" s="36" t="s">
        <v>26</v>
      </c>
      <c r="R28" s="62"/>
      <c r="S28" s="62" t="s">
        <v>603</v>
      </c>
      <c r="T28" s="53"/>
      <c r="U28" s="62" t="s">
        <v>603</v>
      </c>
      <c r="V28" s="62" t="s">
        <v>604</v>
      </c>
      <c r="W28" s="36">
        <v>27</v>
      </c>
      <c r="X28" s="52" t="s">
        <v>173</v>
      </c>
      <c r="Y28" s="52" t="s">
        <v>184</v>
      </c>
      <c r="Z28" s="36"/>
      <c r="AA28" s="36"/>
    </row>
    <row r="29" spans="1:27" ht="14" customHeight="1" x14ac:dyDescent="0.15">
      <c r="A29" s="9">
        <v>44992</v>
      </c>
      <c r="B29" s="3">
        <f t="shared" si="4"/>
        <v>46265</v>
      </c>
      <c r="C29" s="48" t="s">
        <v>29</v>
      </c>
      <c r="D29" s="49">
        <f t="shared" si="3"/>
        <v>4</v>
      </c>
      <c r="E29" s="21">
        <v>2</v>
      </c>
      <c r="F29" s="21"/>
      <c r="G29" s="21">
        <v>1</v>
      </c>
      <c r="H29" s="21"/>
      <c r="I29" s="21">
        <v>1</v>
      </c>
      <c r="J29" s="36"/>
      <c r="K29" s="36"/>
      <c r="L29" s="36"/>
      <c r="M29" s="36"/>
      <c r="N29" s="36"/>
      <c r="O29" s="36"/>
      <c r="P29" s="36"/>
      <c r="Q29" s="54"/>
      <c r="R29" s="62" t="s">
        <v>604</v>
      </c>
      <c r="S29" s="62" t="s">
        <v>604</v>
      </c>
      <c r="T29" s="62" t="s">
        <v>604</v>
      </c>
      <c r="U29" s="62" t="s">
        <v>611</v>
      </c>
      <c r="V29" s="62" t="s">
        <v>612</v>
      </c>
      <c r="W29" s="36">
        <v>28</v>
      </c>
      <c r="X29" s="52" t="s">
        <v>173</v>
      </c>
      <c r="Y29" s="52" t="s">
        <v>186</v>
      </c>
      <c r="Z29" s="36"/>
      <c r="AA29" s="36"/>
    </row>
    <row r="30" spans="1:27" ht="14" customHeight="1" x14ac:dyDescent="0.15">
      <c r="A30" s="9">
        <v>44993</v>
      </c>
      <c r="B30" s="3">
        <f t="shared" si="4"/>
        <v>46272</v>
      </c>
      <c r="C30" s="48" t="s">
        <v>19</v>
      </c>
      <c r="D30" s="49">
        <v>5</v>
      </c>
      <c r="E30" s="21">
        <v>2</v>
      </c>
      <c r="F30" s="21"/>
      <c r="G30" s="21">
        <v>1</v>
      </c>
      <c r="H30" s="21"/>
      <c r="I30" s="34">
        <v>2</v>
      </c>
      <c r="J30" s="36"/>
      <c r="K30" s="36"/>
      <c r="L30" s="36"/>
      <c r="M30" s="36"/>
      <c r="N30" s="36"/>
      <c r="O30" s="36"/>
      <c r="P30" s="36"/>
      <c r="Q30" s="36" t="s">
        <v>26</v>
      </c>
      <c r="R30" s="64" t="s">
        <v>546</v>
      </c>
      <c r="S30" s="64" t="s">
        <v>619</v>
      </c>
      <c r="T30" s="53"/>
      <c r="U30" s="64" t="s">
        <v>620</v>
      </c>
      <c r="V30" s="64" t="s">
        <v>621</v>
      </c>
      <c r="W30" s="36">
        <v>29</v>
      </c>
      <c r="X30" s="52" t="s">
        <v>173</v>
      </c>
      <c r="Y30" s="52" t="s">
        <v>189</v>
      </c>
      <c r="Z30" s="36"/>
      <c r="AA30" s="36"/>
    </row>
    <row r="31" spans="1:27" ht="14" customHeight="1" x14ac:dyDescent="0.15">
      <c r="A31" s="9">
        <v>44994</v>
      </c>
      <c r="B31" s="3">
        <f t="shared" si="4"/>
        <v>46279</v>
      </c>
      <c r="C31" s="48" t="s">
        <v>29</v>
      </c>
      <c r="D31" s="49">
        <v>5</v>
      </c>
      <c r="E31" s="21">
        <v>2</v>
      </c>
      <c r="F31" s="21"/>
      <c r="G31" s="21">
        <v>1</v>
      </c>
      <c r="H31" s="21"/>
      <c r="I31" s="34">
        <v>1</v>
      </c>
      <c r="J31" s="36"/>
      <c r="K31" s="36"/>
      <c r="L31" s="36"/>
      <c r="M31" s="36"/>
      <c r="N31" s="36"/>
      <c r="O31" s="36"/>
      <c r="P31" s="36"/>
      <c r="Q31" s="36"/>
      <c r="R31" s="62" t="s">
        <v>628</v>
      </c>
      <c r="S31" s="65" t="s">
        <v>629</v>
      </c>
      <c r="T31" s="65" t="s">
        <v>630</v>
      </c>
      <c r="U31" s="58" t="s">
        <v>631</v>
      </c>
      <c r="V31" s="65" t="s">
        <v>632</v>
      </c>
      <c r="W31" s="36">
        <v>30</v>
      </c>
      <c r="X31" s="66" t="s">
        <v>190</v>
      </c>
      <c r="Y31" s="66" t="s">
        <v>192</v>
      </c>
      <c r="Z31" s="36"/>
      <c r="AA31" s="36"/>
    </row>
    <row r="32" spans="1:27" ht="14" customHeight="1" x14ac:dyDescent="0.15">
      <c r="A32" s="11"/>
      <c r="B32" s="12"/>
      <c r="C32" s="30"/>
      <c r="D32" s="5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5" t="s">
        <v>635</v>
      </c>
      <c r="S32" s="65" t="s">
        <v>636</v>
      </c>
      <c r="T32" s="53"/>
      <c r="U32" s="65" t="s">
        <v>637</v>
      </c>
      <c r="V32" s="65" t="s">
        <v>637</v>
      </c>
      <c r="W32" s="36">
        <v>31</v>
      </c>
      <c r="X32" s="66" t="s">
        <v>190</v>
      </c>
      <c r="Y32" s="66" t="s">
        <v>194</v>
      </c>
      <c r="Z32" s="36"/>
      <c r="AA32" s="36"/>
    </row>
    <row r="33" spans="1:25" ht="14" customHeight="1" x14ac:dyDescent="0.15">
      <c r="A33" s="10">
        <v>45017</v>
      </c>
      <c r="B33" s="8">
        <f>B31+21</f>
        <v>46300</v>
      </c>
      <c r="C33" s="48" t="s">
        <v>19</v>
      </c>
      <c r="D33" s="49"/>
      <c r="E33" s="21">
        <v>2</v>
      </c>
      <c r="F33" s="21"/>
      <c r="G33" s="21">
        <v>1</v>
      </c>
      <c r="H33" s="21"/>
      <c r="I33" s="21">
        <v>2</v>
      </c>
      <c r="J33" s="36"/>
      <c r="K33" s="36"/>
      <c r="L33" s="36"/>
      <c r="M33" s="36"/>
      <c r="N33" s="36"/>
      <c r="O33" s="36"/>
      <c r="P33" s="36"/>
      <c r="Q33" s="36" t="s">
        <v>26</v>
      </c>
      <c r="R33" s="58" t="s">
        <v>642</v>
      </c>
      <c r="S33" s="58" t="s">
        <v>642</v>
      </c>
      <c r="T33" s="58" t="s">
        <v>642</v>
      </c>
      <c r="U33" s="58" t="s">
        <v>642</v>
      </c>
      <c r="V33" s="58" t="s">
        <v>642</v>
      </c>
      <c r="W33" s="36">
        <v>32</v>
      </c>
      <c r="X33" s="66" t="s">
        <v>190</v>
      </c>
      <c r="Y33" s="66" t="s">
        <v>195</v>
      </c>
    </row>
    <row r="34" spans="1:25" ht="14" customHeight="1" x14ac:dyDescent="0.15">
      <c r="A34" s="10">
        <v>45018</v>
      </c>
      <c r="B34" s="8">
        <f t="shared" ref="B34:B42" si="5">B33+7</f>
        <v>46307</v>
      </c>
      <c r="C34" s="48" t="s">
        <v>29</v>
      </c>
      <c r="D34" s="49"/>
      <c r="E34" s="21">
        <v>2</v>
      </c>
      <c r="F34" s="21"/>
      <c r="G34" s="21">
        <v>1</v>
      </c>
      <c r="H34" s="21"/>
      <c r="I34" s="34">
        <v>1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>
        <v>33</v>
      </c>
      <c r="X34" s="66" t="s">
        <v>196</v>
      </c>
      <c r="Y34" s="66" t="s">
        <v>198</v>
      </c>
    </row>
    <row r="35" spans="1:25" ht="14" customHeight="1" x14ac:dyDescent="0.15">
      <c r="A35" s="10">
        <v>45019</v>
      </c>
      <c r="B35" s="8">
        <f t="shared" si="5"/>
        <v>46314</v>
      </c>
      <c r="C35" s="48" t="s">
        <v>19</v>
      </c>
      <c r="D35" s="36"/>
      <c r="E35" s="20" t="s">
        <v>199</v>
      </c>
      <c r="F35" s="36"/>
      <c r="G35" s="34"/>
      <c r="H35" s="34"/>
      <c r="I35" s="34"/>
      <c r="J35" s="36"/>
      <c r="K35" s="20" t="s">
        <v>199</v>
      </c>
      <c r="L35" s="36"/>
      <c r="M35" s="36"/>
      <c r="N35" s="36"/>
      <c r="O35" s="36"/>
      <c r="P35" s="36"/>
      <c r="Q35" s="36"/>
      <c r="R35" s="53" t="s">
        <v>647</v>
      </c>
      <c r="S35" s="53" t="s">
        <v>647</v>
      </c>
      <c r="T35" s="53" t="s">
        <v>647</v>
      </c>
      <c r="U35" s="53" t="s">
        <v>647</v>
      </c>
      <c r="V35" s="53" t="s">
        <v>647</v>
      </c>
      <c r="W35" s="36">
        <v>34</v>
      </c>
      <c r="X35" s="66" t="s">
        <v>196</v>
      </c>
      <c r="Y35" s="66" t="s">
        <v>201</v>
      </c>
    </row>
    <row r="36" spans="1:25" ht="14" customHeight="1" x14ac:dyDescent="0.15">
      <c r="A36" s="10">
        <v>45020</v>
      </c>
      <c r="B36" s="8">
        <f t="shared" si="5"/>
        <v>46321</v>
      </c>
      <c r="C36" s="48" t="s">
        <v>29</v>
      </c>
      <c r="D36" s="36"/>
      <c r="E36" s="34"/>
      <c r="F36" s="34"/>
      <c r="G36" s="34"/>
      <c r="H36" s="34"/>
      <c r="I36" s="34"/>
      <c r="J36" s="36"/>
      <c r="K36" s="36"/>
      <c r="L36" s="36"/>
      <c r="M36" s="36"/>
      <c r="N36" s="36"/>
      <c r="O36" s="36"/>
      <c r="P36" s="36"/>
      <c r="Q36" s="36"/>
      <c r="R36" s="53" t="s">
        <v>647</v>
      </c>
      <c r="S36" s="53" t="s">
        <v>647</v>
      </c>
      <c r="T36" s="50"/>
      <c r="U36" s="53" t="s">
        <v>647</v>
      </c>
      <c r="V36" s="53" t="s">
        <v>647</v>
      </c>
      <c r="W36" s="36">
        <v>35</v>
      </c>
      <c r="X36" s="66" t="s">
        <v>202</v>
      </c>
      <c r="Y36" s="66" t="s">
        <v>204</v>
      </c>
    </row>
    <row r="37" spans="1:25" ht="14" customHeight="1" x14ac:dyDescent="0.15">
      <c r="A37" s="10">
        <v>45021</v>
      </c>
      <c r="B37" s="8">
        <f t="shared" si="5"/>
        <v>46328</v>
      </c>
      <c r="C37" s="48" t="s">
        <v>19</v>
      </c>
      <c r="D37" s="36"/>
      <c r="E37" s="20" t="s">
        <v>205</v>
      </c>
      <c r="F37" s="20" t="s">
        <v>205</v>
      </c>
      <c r="G37" s="21"/>
      <c r="H37" s="21"/>
      <c r="I37" s="21"/>
      <c r="J37" s="36"/>
      <c r="K37" s="20" t="s">
        <v>205</v>
      </c>
      <c r="L37" s="20" t="s">
        <v>205</v>
      </c>
      <c r="M37" s="20" t="s">
        <v>205</v>
      </c>
      <c r="N37" s="36"/>
      <c r="O37" s="36"/>
      <c r="P37" s="36"/>
      <c r="Q37" s="36"/>
      <c r="R37" s="36"/>
      <c r="S37" s="36"/>
      <c r="T37" s="36"/>
      <c r="U37" s="36"/>
      <c r="V37" s="36"/>
      <c r="W37" s="36">
        <v>36</v>
      </c>
      <c r="X37" s="66" t="s">
        <v>202</v>
      </c>
      <c r="Y37" s="66" t="s">
        <v>207</v>
      </c>
    </row>
    <row r="38" spans="1:25" ht="14" customHeight="1" x14ac:dyDescent="0.15">
      <c r="A38" s="10">
        <v>45022</v>
      </c>
      <c r="B38" s="8">
        <f t="shared" si="5"/>
        <v>46335</v>
      </c>
      <c r="C38" s="48" t="s">
        <v>29</v>
      </c>
      <c r="D38" s="36"/>
      <c r="E38" s="21"/>
      <c r="F38" s="21"/>
      <c r="G38" s="21"/>
      <c r="H38" s="21"/>
      <c r="I38" s="20" t="s">
        <v>208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>
        <v>37</v>
      </c>
      <c r="X38" s="66" t="s">
        <v>209</v>
      </c>
      <c r="Y38" s="66" t="s">
        <v>211</v>
      </c>
    </row>
    <row r="39" spans="1:25" ht="14" customHeight="1" x14ac:dyDescent="0.15">
      <c r="A39" s="10">
        <v>45023</v>
      </c>
      <c r="B39" s="8">
        <f t="shared" si="5"/>
        <v>46342</v>
      </c>
      <c r="C39" s="48" t="s">
        <v>29</v>
      </c>
      <c r="D39" s="36"/>
      <c r="E39" s="20" t="s">
        <v>208</v>
      </c>
      <c r="F39" s="20" t="s">
        <v>208</v>
      </c>
      <c r="G39" s="20" t="s">
        <v>208</v>
      </c>
      <c r="H39" s="20" t="s">
        <v>208</v>
      </c>
      <c r="I39" s="20" t="s">
        <v>116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>
        <v>38</v>
      </c>
      <c r="X39" s="66" t="s">
        <v>209</v>
      </c>
      <c r="Y39" s="66" t="s">
        <v>213</v>
      </c>
    </row>
    <row r="40" spans="1:25" ht="14" customHeight="1" x14ac:dyDescent="0.15">
      <c r="A40" s="10">
        <v>45024</v>
      </c>
      <c r="B40" s="8">
        <f t="shared" si="5"/>
        <v>46349</v>
      </c>
      <c r="C40" s="48" t="s">
        <v>19</v>
      </c>
      <c r="D40" s="36"/>
      <c r="E40" s="20" t="s">
        <v>214</v>
      </c>
      <c r="F40" s="20" t="s">
        <v>214</v>
      </c>
      <c r="G40" s="20" t="s">
        <v>214</v>
      </c>
      <c r="H40" s="34"/>
      <c r="I40" s="34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>
        <v>39</v>
      </c>
      <c r="X40" s="66" t="s">
        <v>209</v>
      </c>
      <c r="Y40" s="66" t="s">
        <v>216</v>
      </c>
    </row>
    <row r="41" spans="1:25" ht="14" customHeight="1" x14ac:dyDescent="0.15">
      <c r="A41" s="10">
        <v>45025</v>
      </c>
      <c r="B41" s="8">
        <f t="shared" si="5"/>
        <v>46356</v>
      </c>
      <c r="C41" s="48" t="s">
        <v>29</v>
      </c>
      <c r="D41" s="36"/>
      <c r="E41" s="36"/>
      <c r="F41" s="36"/>
      <c r="G41" s="36"/>
      <c r="H41" s="36"/>
      <c r="I41" s="36" t="s">
        <v>217</v>
      </c>
      <c r="J41" s="36"/>
      <c r="K41" s="36"/>
      <c r="L41" s="36"/>
      <c r="M41" s="36"/>
      <c r="N41" s="36"/>
      <c r="O41" s="36"/>
      <c r="P41" s="36"/>
      <c r="Q41" s="36" t="s">
        <v>217</v>
      </c>
      <c r="R41" s="36"/>
      <c r="S41" s="36"/>
      <c r="T41" s="36"/>
      <c r="U41" s="36"/>
      <c r="V41" s="36"/>
      <c r="W41" s="36">
        <v>40</v>
      </c>
      <c r="X41" s="66" t="s">
        <v>209</v>
      </c>
      <c r="Y41" s="66" t="s">
        <v>219</v>
      </c>
    </row>
    <row r="42" spans="1:25" ht="14" customHeight="1" x14ac:dyDescent="0.15">
      <c r="A42" s="10">
        <v>45026</v>
      </c>
      <c r="B42" s="8">
        <f t="shared" si="5"/>
        <v>46363</v>
      </c>
      <c r="C42" s="36" t="s">
        <v>19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>
        <v>41</v>
      </c>
      <c r="X42" s="66" t="s">
        <v>209</v>
      </c>
      <c r="Y42" s="66" t="s">
        <v>221</v>
      </c>
    </row>
    <row r="43" spans="1:25" ht="14" customHeight="1" x14ac:dyDescent="0.1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6"/>
      <c r="S43" s="36"/>
      <c r="T43" s="36"/>
      <c r="U43" s="36"/>
      <c r="V43" s="36"/>
      <c r="W43" s="36">
        <v>42</v>
      </c>
      <c r="X43" s="66" t="s">
        <v>209</v>
      </c>
      <c r="Y43" s="66" t="s">
        <v>223</v>
      </c>
    </row>
    <row r="44" spans="1:25" ht="14" customHeight="1" x14ac:dyDescent="0.1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>
        <v>43</v>
      </c>
      <c r="X44" s="66" t="s">
        <v>209</v>
      </c>
      <c r="Y44" s="66" t="s">
        <v>226</v>
      </c>
    </row>
    <row r="45" spans="1:25" ht="14" customHeight="1" x14ac:dyDescent="0.15">
      <c r="A45" s="48"/>
      <c r="B45" s="48"/>
      <c r="C45" s="36"/>
      <c r="D45" s="36"/>
      <c r="E45" s="67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>
        <v>44</v>
      </c>
      <c r="X45" s="66" t="s">
        <v>209</v>
      </c>
      <c r="Y45" s="66" t="s">
        <v>232</v>
      </c>
    </row>
    <row r="46" spans="1:25" ht="14" customHeight="1" x14ac:dyDescent="0.15">
      <c r="A46" s="48"/>
      <c r="B46" s="48"/>
      <c r="C46" s="36"/>
      <c r="D46" s="36"/>
      <c r="E46" s="67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>
        <v>45</v>
      </c>
      <c r="X46" s="66" t="s">
        <v>209</v>
      </c>
      <c r="Y46" s="66" t="s">
        <v>236</v>
      </c>
    </row>
    <row r="47" spans="1:25" ht="14" customHeight="1" x14ac:dyDescent="0.15">
      <c r="A47" s="48"/>
      <c r="B47" s="48"/>
      <c r="C47" s="36"/>
      <c r="D47" s="36"/>
      <c r="E47" s="67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>
        <v>46</v>
      </c>
      <c r="X47" s="66" t="s">
        <v>209</v>
      </c>
      <c r="Y47" s="66" t="s">
        <v>240</v>
      </c>
    </row>
    <row r="48" spans="1:25" ht="16.5" customHeight="1" x14ac:dyDescent="0.15">
      <c r="A48" s="48"/>
      <c r="B48" s="48"/>
      <c r="C48" s="36"/>
      <c r="D48" s="36"/>
      <c r="E48" s="67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>
        <v>47</v>
      </c>
      <c r="X48" s="66" t="s">
        <v>243</v>
      </c>
      <c r="Y48" s="66" t="s">
        <v>245</v>
      </c>
    </row>
    <row r="49" spans="1:25" ht="16.5" customHeight="1" x14ac:dyDescent="0.15">
      <c r="A49" s="48"/>
      <c r="B49" s="48"/>
      <c r="C49" s="36"/>
      <c r="D49" s="36"/>
      <c r="E49" s="67"/>
      <c r="F49" s="67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>
        <v>48</v>
      </c>
      <c r="X49" s="66" t="s">
        <v>243</v>
      </c>
      <c r="Y49" s="66" t="s">
        <v>252</v>
      </c>
    </row>
    <row r="50" spans="1:25" ht="16.5" customHeight="1" x14ac:dyDescent="0.1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>
        <v>49</v>
      </c>
      <c r="X50" s="66" t="s">
        <v>243</v>
      </c>
      <c r="Y50" s="66" t="s">
        <v>255</v>
      </c>
    </row>
    <row r="51" spans="1:25" ht="16.5" customHeight="1" x14ac:dyDescent="0.1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>
        <v>50</v>
      </c>
      <c r="X51" s="66" t="s">
        <v>243</v>
      </c>
      <c r="Y51" s="66" t="s">
        <v>257</v>
      </c>
    </row>
    <row r="52" spans="1:25" ht="16.5" customHeight="1" x14ac:dyDescent="0.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>
        <v>51</v>
      </c>
      <c r="X52" s="66" t="s">
        <v>243</v>
      </c>
      <c r="Y52" s="66" t="s">
        <v>258</v>
      </c>
    </row>
    <row r="53" spans="1:25" ht="16.5" customHeight="1" x14ac:dyDescent="0.15">
      <c r="A53" s="68"/>
      <c r="B53" s="68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>
        <v>52</v>
      </c>
      <c r="X53" s="66" t="s">
        <v>243</v>
      </c>
      <c r="Y53" s="66" t="s">
        <v>260</v>
      </c>
    </row>
    <row r="54" spans="1:25" ht="16.5" customHeight="1" x14ac:dyDescent="0.15">
      <c r="A54" s="68"/>
      <c r="B54" s="68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>
        <v>53</v>
      </c>
      <c r="X54" s="66" t="s">
        <v>243</v>
      </c>
      <c r="Y54" s="66" t="s">
        <v>262</v>
      </c>
    </row>
    <row r="55" spans="1:25" ht="14" customHeight="1" x14ac:dyDescent="0.15">
      <c r="A55" s="69"/>
      <c r="B55" s="70"/>
      <c r="C55" s="69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>
        <v>54</v>
      </c>
      <c r="X55" s="66" t="s">
        <v>243</v>
      </c>
      <c r="Y55" s="66" t="s">
        <v>263</v>
      </c>
    </row>
    <row r="56" spans="1:25" ht="14" customHeight="1" x14ac:dyDescent="0.15">
      <c r="A56" s="69"/>
      <c r="B56" s="70"/>
      <c r="C56" s="69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>
        <v>55</v>
      </c>
      <c r="X56" s="66" t="s">
        <v>243</v>
      </c>
      <c r="Y56" s="66" t="s">
        <v>264</v>
      </c>
    </row>
    <row r="57" spans="1:25" ht="14" customHeight="1" x14ac:dyDescent="0.15">
      <c r="A57" s="69"/>
      <c r="B57" s="70"/>
      <c r="C57" s="69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>
        <v>56</v>
      </c>
      <c r="X57" s="71" t="s">
        <v>265</v>
      </c>
      <c r="Y57" s="71" t="s">
        <v>267</v>
      </c>
    </row>
    <row r="58" spans="1:25" ht="14" customHeight="1" x14ac:dyDescent="0.15">
      <c r="A58" s="69"/>
      <c r="B58" s="70"/>
      <c r="C58" s="69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>
        <v>57</v>
      </c>
      <c r="X58" s="71" t="s">
        <v>265</v>
      </c>
      <c r="Y58" s="71" t="s">
        <v>269</v>
      </c>
    </row>
    <row r="59" spans="1:25" ht="14" customHeight="1" x14ac:dyDescent="0.15">
      <c r="A59" s="69"/>
      <c r="B59" s="70"/>
      <c r="C59" s="69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>
        <v>58</v>
      </c>
      <c r="X59" s="71" t="s">
        <v>265</v>
      </c>
      <c r="Y59" s="71" t="s">
        <v>271</v>
      </c>
    </row>
    <row r="60" spans="1:25" ht="14" customHeight="1" x14ac:dyDescent="0.15">
      <c r="A60" s="69"/>
      <c r="B60" s="70"/>
      <c r="C60" s="69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>
        <v>59</v>
      </c>
      <c r="X60" s="71" t="s">
        <v>265</v>
      </c>
      <c r="Y60" s="71" t="s">
        <v>273</v>
      </c>
    </row>
    <row r="61" spans="1:25" ht="14" customHeight="1" x14ac:dyDescent="0.15">
      <c r="A61" s="69"/>
      <c r="B61" s="70"/>
      <c r="C61" s="69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>
        <v>60</v>
      </c>
      <c r="X61" s="71" t="s">
        <v>274</v>
      </c>
      <c r="Y61" s="71" t="s">
        <v>276</v>
      </c>
    </row>
    <row r="62" spans="1:25" ht="14" customHeight="1" x14ac:dyDescent="0.15">
      <c r="A62" s="69"/>
      <c r="B62" s="70"/>
      <c r="C62" s="69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>
        <v>61</v>
      </c>
      <c r="X62" s="71" t="s">
        <v>274</v>
      </c>
      <c r="Y62" s="71" t="s">
        <v>278</v>
      </c>
    </row>
    <row r="63" spans="1:25" ht="14" customHeight="1" x14ac:dyDescent="0.15">
      <c r="A63" s="69"/>
      <c r="B63" s="70"/>
      <c r="C63" s="69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>
        <v>62</v>
      </c>
      <c r="X63" s="71" t="s">
        <v>274</v>
      </c>
      <c r="Y63" s="71" t="s">
        <v>279</v>
      </c>
    </row>
    <row r="64" spans="1:25" ht="14" customHeight="1" x14ac:dyDescent="0.15">
      <c r="A64" s="69"/>
      <c r="B64" s="70"/>
      <c r="C64" s="69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>
        <v>63</v>
      </c>
      <c r="X64" s="71" t="s">
        <v>274</v>
      </c>
      <c r="Y64" s="71" t="s">
        <v>280</v>
      </c>
    </row>
    <row r="65" spans="2:25" ht="14" customHeight="1" x14ac:dyDescent="0.15">
      <c r="B65" s="72"/>
      <c r="C65" s="48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>
        <v>64</v>
      </c>
      <c r="X65" s="71" t="s">
        <v>274</v>
      </c>
      <c r="Y65" s="71" t="s">
        <v>281</v>
      </c>
    </row>
    <row r="66" spans="2:25" ht="14" customHeight="1" x14ac:dyDescent="0.15">
      <c r="B66" s="72"/>
      <c r="C66" s="4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>
        <v>65</v>
      </c>
      <c r="X66" s="71" t="s">
        <v>274</v>
      </c>
      <c r="Y66" s="71" t="s">
        <v>283</v>
      </c>
    </row>
    <row r="67" spans="2:25" ht="14" customHeight="1" x14ac:dyDescent="0.15">
      <c r="B67" s="72"/>
      <c r="C67" s="48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>
        <v>66</v>
      </c>
      <c r="X67" s="71" t="s">
        <v>284</v>
      </c>
      <c r="Y67" s="71" t="s">
        <v>286</v>
      </c>
    </row>
    <row r="68" spans="2:25" ht="14" customHeight="1" x14ac:dyDescent="0.15">
      <c r="B68" s="72"/>
      <c r="C68" s="48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>
        <v>67</v>
      </c>
      <c r="X68" s="71" t="s">
        <v>284</v>
      </c>
      <c r="Y68" s="71" t="s">
        <v>288</v>
      </c>
    </row>
    <row r="69" spans="2:25" ht="14" customHeight="1" x14ac:dyDescent="0.15">
      <c r="B69" s="72"/>
      <c r="C69" s="48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>
        <v>68</v>
      </c>
      <c r="X69" s="71" t="s">
        <v>284</v>
      </c>
      <c r="Y69" s="71" t="s">
        <v>290</v>
      </c>
    </row>
    <row r="70" spans="2:25" ht="14" customHeight="1" x14ac:dyDescent="0.15">
      <c r="B70" s="72"/>
      <c r="C70" s="4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>
        <v>69</v>
      </c>
      <c r="X70" s="71" t="s">
        <v>284</v>
      </c>
      <c r="Y70" s="71" t="s">
        <v>292</v>
      </c>
    </row>
    <row r="71" spans="2:25" ht="14" customHeight="1" x14ac:dyDescent="0.15">
      <c r="B71" s="72"/>
      <c r="C71" s="48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>
        <v>70</v>
      </c>
      <c r="X71" s="71" t="s">
        <v>293</v>
      </c>
      <c r="Y71" s="71" t="s">
        <v>295</v>
      </c>
    </row>
    <row r="72" spans="2:25" ht="14" customHeight="1" x14ac:dyDescent="0.15">
      <c r="B72" s="72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>
        <v>71</v>
      </c>
      <c r="X72" s="71" t="s">
        <v>293</v>
      </c>
      <c r="Y72" s="71" t="s">
        <v>297</v>
      </c>
    </row>
    <row r="73" spans="2:25" ht="14" customHeight="1" x14ac:dyDescent="0.15">
      <c r="B73" s="72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>
        <v>72</v>
      </c>
      <c r="X73" s="71" t="s">
        <v>293</v>
      </c>
      <c r="Y73" s="71" t="s">
        <v>299</v>
      </c>
    </row>
    <row r="74" spans="2:25" ht="14" customHeight="1" x14ac:dyDescent="0.15">
      <c r="B74" s="72"/>
      <c r="C74" s="48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>
        <v>73</v>
      </c>
      <c r="X74" s="71" t="s">
        <v>300</v>
      </c>
      <c r="Y74" s="71" t="s">
        <v>301</v>
      </c>
    </row>
    <row r="75" spans="2:25" ht="14" customHeight="1" x14ac:dyDescent="0.15">
      <c r="B75" s="72"/>
      <c r="C75" s="48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>
        <v>74</v>
      </c>
      <c r="X75" s="71" t="s">
        <v>300</v>
      </c>
      <c r="Y75" s="71" t="s">
        <v>303</v>
      </c>
    </row>
    <row r="76" spans="2:25" ht="14" customHeight="1" x14ac:dyDescent="0.15">
      <c r="B76" s="72"/>
      <c r="C76" s="48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>
        <v>75</v>
      </c>
      <c r="X76" s="71" t="s">
        <v>300</v>
      </c>
      <c r="Y76" s="71" t="s">
        <v>305</v>
      </c>
    </row>
    <row r="77" spans="2:25" ht="14" customHeight="1" x14ac:dyDescent="0.15">
      <c r="B77" s="72"/>
      <c r="C77" s="48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>
        <v>76</v>
      </c>
      <c r="X77" s="71" t="s">
        <v>306</v>
      </c>
      <c r="Y77" s="71" t="s">
        <v>308</v>
      </c>
    </row>
    <row r="78" spans="2:25" ht="14" customHeight="1" x14ac:dyDescent="0.15">
      <c r="B78" s="72"/>
      <c r="C78" s="48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>
        <v>77</v>
      </c>
      <c r="X78" s="71" t="s">
        <v>306</v>
      </c>
      <c r="Y78" s="71" t="s">
        <v>310</v>
      </c>
    </row>
    <row r="79" spans="2:25" ht="14" customHeight="1" x14ac:dyDescent="0.15">
      <c r="B79" s="72"/>
      <c r="C79" s="4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>
        <v>78</v>
      </c>
      <c r="X79" s="71" t="s">
        <v>306</v>
      </c>
      <c r="Y79" s="71" t="s">
        <v>312</v>
      </c>
    </row>
    <row r="80" spans="2:25" ht="14" customHeight="1" x14ac:dyDescent="0.15">
      <c r="B80" s="72"/>
      <c r="C80" s="4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>
        <v>79</v>
      </c>
      <c r="X80" s="71" t="s">
        <v>306</v>
      </c>
      <c r="Y80" s="71" t="s">
        <v>314</v>
      </c>
    </row>
    <row r="81" spans="2:25" ht="14" customHeight="1" x14ac:dyDescent="0.15">
      <c r="B81" s="72"/>
      <c r="C81" s="4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>
        <v>80</v>
      </c>
      <c r="X81" s="71" t="s">
        <v>306</v>
      </c>
      <c r="Y81" s="71" t="s">
        <v>315</v>
      </c>
    </row>
    <row r="82" spans="2:25" ht="14" customHeight="1" x14ac:dyDescent="0.15">
      <c r="B82" s="72"/>
      <c r="C82" s="48"/>
      <c r="D82" s="36"/>
      <c r="E82" s="36"/>
      <c r="F82" s="36"/>
      <c r="G82" s="36"/>
      <c r="H82" s="36"/>
      <c r="I82" s="36"/>
      <c r="J82" s="36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36">
        <v>81</v>
      </c>
      <c r="X82" s="71" t="s">
        <v>316</v>
      </c>
      <c r="Y82" s="71" t="s">
        <v>317</v>
      </c>
    </row>
    <row r="83" spans="2:25" ht="14" customHeight="1" x14ac:dyDescent="0.15">
      <c r="B83" s="72"/>
      <c r="C83" s="48"/>
      <c r="D83" s="36"/>
      <c r="E83" s="36"/>
      <c r="F83" s="36"/>
      <c r="G83" s="36"/>
      <c r="H83" s="36"/>
      <c r="I83" s="36"/>
      <c r="J83" s="36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36">
        <v>82</v>
      </c>
      <c r="X83" s="71" t="s">
        <v>316</v>
      </c>
      <c r="Y83" s="71" t="s">
        <v>318</v>
      </c>
    </row>
    <row r="84" spans="2:25" ht="14" customHeight="1" x14ac:dyDescent="0.15">
      <c r="B84" s="72"/>
      <c r="C84" s="48"/>
      <c r="D84" s="36"/>
      <c r="E84" s="36"/>
      <c r="F84" s="36"/>
      <c r="G84" s="36"/>
      <c r="H84" s="36"/>
      <c r="I84" s="36"/>
      <c r="J84" s="36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36">
        <v>83</v>
      </c>
      <c r="X84" s="73" t="s">
        <v>319</v>
      </c>
      <c r="Y84" s="73" t="s">
        <v>321</v>
      </c>
    </row>
    <row r="85" spans="2:25" ht="14" customHeight="1" x14ac:dyDescent="0.15">
      <c r="B85" s="72"/>
      <c r="C85" s="48"/>
      <c r="D85" s="36"/>
      <c r="E85" s="36"/>
      <c r="F85" s="36"/>
      <c r="G85" s="36"/>
      <c r="H85" s="36"/>
      <c r="I85" s="36"/>
      <c r="J85" s="36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36">
        <v>84</v>
      </c>
      <c r="X85" s="73" t="s">
        <v>319</v>
      </c>
      <c r="Y85" s="73" t="s">
        <v>323</v>
      </c>
    </row>
    <row r="86" spans="2:25" ht="14" customHeight="1" x14ac:dyDescent="0.15">
      <c r="B86" s="72"/>
      <c r="C86" s="4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>
        <v>85</v>
      </c>
      <c r="X86" s="73" t="s">
        <v>319</v>
      </c>
      <c r="Y86" s="73" t="s">
        <v>324</v>
      </c>
    </row>
    <row r="87" spans="2:25" ht="14" customHeight="1" x14ac:dyDescent="0.15">
      <c r="B87" s="72"/>
      <c r="C87" s="4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>
        <v>86</v>
      </c>
      <c r="X87" s="73" t="s">
        <v>319</v>
      </c>
      <c r="Y87" s="73" t="s">
        <v>325</v>
      </c>
    </row>
    <row r="88" spans="2:25" ht="14" customHeight="1" x14ac:dyDescent="0.15">
      <c r="B88" s="72"/>
      <c r="C88" s="4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>
        <v>87</v>
      </c>
      <c r="X88" s="73" t="s">
        <v>319</v>
      </c>
      <c r="Y88" s="73" t="s">
        <v>327</v>
      </c>
    </row>
    <row r="89" spans="2:25" ht="14" customHeight="1" x14ac:dyDescent="0.15">
      <c r="B89" s="72"/>
      <c r="C89" s="4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>
        <v>88</v>
      </c>
      <c r="X89" s="73" t="s">
        <v>319</v>
      </c>
      <c r="Y89" s="73" t="s">
        <v>329</v>
      </c>
    </row>
    <row r="90" spans="2:25" ht="14" customHeight="1" x14ac:dyDescent="0.15">
      <c r="B90" s="72"/>
      <c r="C90" s="4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>
        <v>89</v>
      </c>
      <c r="X90" s="73" t="s">
        <v>319</v>
      </c>
      <c r="Y90" s="73" t="s">
        <v>330</v>
      </c>
    </row>
    <row r="91" spans="2:25" ht="14" customHeight="1" x14ac:dyDescent="0.15">
      <c r="B91" s="72"/>
      <c r="C91" s="4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>
        <v>90</v>
      </c>
      <c r="X91" s="73" t="s">
        <v>319</v>
      </c>
      <c r="Y91" s="73" t="s">
        <v>331</v>
      </c>
    </row>
    <row r="92" spans="2:25" ht="14" customHeight="1" x14ac:dyDescent="0.15">
      <c r="B92" s="72"/>
      <c r="C92" s="4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>
        <v>91</v>
      </c>
      <c r="X92" s="73" t="s">
        <v>319</v>
      </c>
      <c r="Y92" s="73" t="s">
        <v>332</v>
      </c>
    </row>
    <row r="93" spans="2:25" ht="14" customHeight="1" x14ac:dyDescent="0.15">
      <c r="B93" s="72"/>
      <c r="C93" s="4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>
        <v>92</v>
      </c>
      <c r="X93" s="73" t="s">
        <v>333</v>
      </c>
      <c r="Y93" s="73" t="s">
        <v>334</v>
      </c>
    </row>
    <row r="94" spans="2:25" ht="14" customHeight="1" x14ac:dyDescent="0.15">
      <c r="B94" s="72"/>
      <c r="C94" s="4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>
        <v>93</v>
      </c>
      <c r="X94" s="73" t="s">
        <v>333</v>
      </c>
      <c r="Y94" s="73" t="s">
        <v>335</v>
      </c>
    </row>
    <row r="95" spans="2:25" ht="14" customHeight="1" x14ac:dyDescent="0.15">
      <c r="B95" s="72"/>
      <c r="C95" s="4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>
        <v>94</v>
      </c>
      <c r="X95" s="73" t="s">
        <v>333</v>
      </c>
      <c r="Y95" s="73" t="s">
        <v>336</v>
      </c>
    </row>
    <row r="96" spans="2:25" ht="14" customHeight="1" x14ac:dyDescent="0.15">
      <c r="B96" s="72"/>
      <c r="C96" s="4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>
        <v>95</v>
      </c>
      <c r="X96" s="73" t="s">
        <v>337</v>
      </c>
      <c r="Y96" s="73" t="s">
        <v>338</v>
      </c>
    </row>
    <row r="97" spans="2:25" ht="14" customHeight="1" x14ac:dyDescent="0.15">
      <c r="B97" s="72"/>
      <c r="C97" s="4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>
        <v>96</v>
      </c>
      <c r="X97" s="73" t="s">
        <v>337</v>
      </c>
      <c r="Y97" s="73" t="s">
        <v>339</v>
      </c>
    </row>
    <row r="98" spans="2:25" ht="14" customHeight="1" x14ac:dyDescent="0.15">
      <c r="B98" s="72"/>
      <c r="C98" s="4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>
        <v>97</v>
      </c>
      <c r="X98" s="73" t="s">
        <v>337</v>
      </c>
      <c r="Y98" s="73" t="s">
        <v>340</v>
      </c>
    </row>
    <row r="99" spans="2:25" ht="14" customHeight="1" x14ac:dyDescent="0.15">
      <c r="B99" s="72"/>
      <c r="C99" s="4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>
        <v>98</v>
      </c>
      <c r="X99" s="73" t="s">
        <v>337</v>
      </c>
      <c r="Y99" s="73" t="s">
        <v>341</v>
      </c>
    </row>
    <row r="100" spans="2:25" ht="14" customHeight="1" x14ac:dyDescent="0.15">
      <c r="B100" s="72"/>
      <c r="C100" s="4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>
        <v>99</v>
      </c>
      <c r="X100" s="73" t="s">
        <v>342</v>
      </c>
      <c r="Y100" s="73" t="s">
        <v>344</v>
      </c>
    </row>
    <row r="101" spans="2:25" ht="14" customHeight="1" x14ac:dyDescent="0.15">
      <c r="B101" s="72"/>
      <c r="C101" s="4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>
        <v>100</v>
      </c>
      <c r="X101" s="73" t="s">
        <v>342</v>
      </c>
      <c r="Y101" s="73" t="s">
        <v>346</v>
      </c>
    </row>
    <row r="102" spans="2:25" ht="14" customHeight="1" x14ac:dyDescent="0.15">
      <c r="B102" s="72"/>
      <c r="C102" s="4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>
        <v>101</v>
      </c>
      <c r="X102" s="73" t="s">
        <v>342</v>
      </c>
      <c r="Y102" s="73" t="s">
        <v>348</v>
      </c>
    </row>
    <row r="103" spans="2:25" ht="14" customHeight="1" x14ac:dyDescent="0.15">
      <c r="B103" s="72"/>
      <c r="C103" s="4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>
        <v>102</v>
      </c>
      <c r="X103" s="73" t="s">
        <v>342</v>
      </c>
      <c r="Y103" s="73" t="s">
        <v>350</v>
      </c>
    </row>
    <row r="104" spans="2:25" ht="14" customHeight="1" x14ac:dyDescent="0.15">
      <c r="B104" s="72"/>
      <c r="C104" s="4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>
        <v>103</v>
      </c>
      <c r="X104" s="73" t="s">
        <v>342</v>
      </c>
      <c r="Y104" s="73" t="s">
        <v>351</v>
      </c>
    </row>
    <row r="105" spans="2:25" ht="14" customHeight="1" x14ac:dyDescent="0.15">
      <c r="B105" s="72"/>
      <c r="C105" s="4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>
        <v>104</v>
      </c>
      <c r="X105" s="73" t="s">
        <v>342</v>
      </c>
      <c r="Y105" s="73" t="s">
        <v>352</v>
      </c>
    </row>
    <row r="106" spans="2:25" ht="14" customHeight="1" x14ac:dyDescent="0.15">
      <c r="B106" s="72"/>
      <c r="C106" s="4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>
        <v>105</v>
      </c>
      <c r="X106" s="73" t="s">
        <v>342</v>
      </c>
      <c r="Y106" s="73" t="s">
        <v>353</v>
      </c>
    </row>
    <row r="107" spans="2:25" ht="14" customHeight="1" x14ac:dyDescent="0.15">
      <c r="B107" s="72"/>
      <c r="C107" s="4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>
        <v>106</v>
      </c>
      <c r="X107" s="73" t="s">
        <v>342</v>
      </c>
      <c r="Y107" s="73" t="s">
        <v>354</v>
      </c>
    </row>
    <row r="108" spans="2:25" ht="14" customHeight="1" x14ac:dyDescent="0.15">
      <c r="B108" s="72"/>
      <c r="C108" s="4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>
        <v>107</v>
      </c>
      <c r="X108" s="73" t="s">
        <v>355</v>
      </c>
      <c r="Y108" s="73" t="s">
        <v>357</v>
      </c>
    </row>
    <row r="109" spans="2:25" ht="14" customHeight="1" x14ac:dyDescent="0.15">
      <c r="B109" s="72"/>
      <c r="C109" s="4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>
        <v>108</v>
      </c>
      <c r="X109" s="73" t="s">
        <v>355</v>
      </c>
      <c r="Y109" s="73" t="s">
        <v>359</v>
      </c>
    </row>
    <row r="110" spans="2:25" ht="14" customHeight="1" x14ac:dyDescent="0.15">
      <c r="B110" s="72"/>
      <c r="C110" s="4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>
        <v>109</v>
      </c>
      <c r="X110" s="73" t="s">
        <v>355</v>
      </c>
      <c r="Y110" s="73" t="s">
        <v>360</v>
      </c>
    </row>
    <row r="111" spans="2:25" ht="14" customHeight="1" x14ac:dyDescent="0.15">
      <c r="B111" s="72"/>
      <c r="C111" s="4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>
        <v>110</v>
      </c>
      <c r="X111" s="73" t="s">
        <v>355</v>
      </c>
      <c r="Y111" s="73" t="s">
        <v>361</v>
      </c>
    </row>
    <row r="112" spans="2:25" ht="14" customHeight="1" x14ac:dyDescent="0.15">
      <c r="B112" s="72"/>
      <c r="C112" s="4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>
        <v>111</v>
      </c>
      <c r="X112" s="73" t="s">
        <v>355</v>
      </c>
      <c r="Y112" s="73" t="s">
        <v>363</v>
      </c>
    </row>
    <row r="113" spans="2:25" ht="14" customHeight="1" x14ac:dyDescent="0.15">
      <c r="B113" s="72"/>
      <c r="C113" s="4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>
        <v>112</v>
      </c>
      <c r="X113" s="73" t="s">
        <v>355</v>
      </c>
      <c r="Y113" s="73" t="s">
        <v>365</v>
      </c>
    </row>
    <row r="114" spans="2:25" ht="14" customHeight="1" x14ac:dyDescent="0.15">
      <c r="B114" s="72"/>
      <c r="C114" s="4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>
        <v>113</v>
      </c>
      <c r="X114" s="73" t="s">
        <v>366</v>
      </c>
      <c r="Y114" s="73" t="s">
        <v>368</v>
      </c>
    </row>
    <row r="115" spans="2:25" ht="14" customHeight="1" x14ac:dyDescent="0.15">
      <c r="B115" s="72"/>
      <c r="C115" s="4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>
        <v>114</v>
      </c>
      <c r="X115" s="73" t="s">
        <v>366</v>
      </c>
      <c r="Y115" s="73" t="s">
        <v>370</v>
      </c>
    </row>
    <row r="116" spans="2:25" ht="14" customHeight="1" x14ac:dyDescent="0.15">
      <c r="B116" s="72"/>
      <c r="C116" s="4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>
        <v>115</v>
      </c>
      <c r="X116" s="73" t="s">
        <v>366</v>
      </c>
      <c r="Y116" s="73" t="s">
        <v>372</v>
      </c>
    </row>
    <row r="117" spans="2:25" ht="14" customHeight="1" x14ac:dyDescent="0.15">
      <c r="B117" s="72"/>
      <c r="C117" s="4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>
        <v>116</v>
      </c>
      <c r="X117" s="73" t="s">
        <v>366</v>
      </c>
      <c r="Y117" s="73" t="s">
        <v>374</v>
      </c>
    </row>
    <row r="118" spans="2:25" ht="14" customHeight="1" x14ac:dyDescent="0.15">
      <c r="B118" s="72"/>
      <c r="C118" s="4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>
        <v>117</v>
      </c>
      <c r="X118" s="73" t="s">
        <v>366</v>
      </c>
      <c r="Y118" s="73" t="s">
        <v>375</v>
      </c>
    </row>
    <row r="119" spans="2:25" ht="14" customHeight="1" x14ac:dyDescent="0.15">
      <c r="B119" s="72"/>
      <c r="C119" s="4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>
        <v>118</v>
      </c>
      <c r="X119" s="73" t="s">
        <v>366</v>
      </c>
      <c r="Y119" s="73" t="s">
        <v>376</v>
      </c>
    </row>
    <row r="120" spans="2:25" ht="14" customHeight="1" x14ac:dyDescent="0.15">
      <c r="B120" s="72"/>
      <c r="C120" s="4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>
        <v>119</v>
      </c>
      <c r="X120" s="73" t="s">
        <v>366</v>
      </c>
      <c r="Y120" s="73" t="s">
        <v>378</v>
      </c>
    </row>
    <row r="121" spans="2:25" ht="14" customHeight="1" x14ac:dyDescent="0.15">
      <c r="B121" s="72"/>
      <c r="C121" s="4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>
        <v>120</v>
      </c>
      <c r="X121" s="73" t="s">
        <v>366</v>
      </c>
      <c r="Y121" s="73" t="s">
        <v>380</v>
      </c>
    </row>
    <row r="122" spans="2:25" ht="14" customHeight="1" x14ac:dyDescent="0.15">
      <c r="B122" s="72"/>
      <c r="C122" s="4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>
        <v>121</v>
      </c>
      <c r="X122" s="73" t="s">
        <v>366</v>
      </c>
      <c r="Y122" s="73" t="s">
        <v>382</v>
      </c>
    </row>
    <row r="123" spans="2:25" ht="14" customHeight="1" x14ac:dyDescent="0.15">
      <c r="B123" s="72"/>
      <c r="C123" s="4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>
        <v>122</v>
      </c>
      <c r="X123" s="73" t="s">
        <v>383</v>
      </c>
      <c r="Y123" s="73" t="s">
        <v>385</v>
      </c>
    </row>
    <row r="124" spans="2:25" ht="14" customHeight="1" x14ac:dyDescent="0.15">
      <c r="B124" s="72"/>
      <c r="C124" s="4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>
        <v>123</v>
      </c>
      <c r="X124" s="73" t="s">
        <v>383</v>
      </c>
      <c r="Y124" s="73" t="s">
        <v>387</v>
      </c>
    </row>
    <row r="125" spans="2:25" ht="14" customHeight="1" x14ac:dyDescent="0.15">
      <c r="B125" s="72"/>
      <c r="C125" s="4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>
        <v>124</v>
      </c>
      <c r="X125" s="73" t="s">
        <v>388</v>
      </c>
      <c r="Y125" s="73" t="s">
        <v>390</v>
      </c>
    </row>
    <row r="126" spans="2:25" ht="14" customHeight="1" x14ac:dyDescent="0.15">
      <c r="B126" s="72"/>
      <c r="C126" s="4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>
        <v>125</v>
      </c>
      <c r="X126" s="73" t="s">
        <v>388</v>
      </c>
      <c r="Y126" s="73" t="s">
        <v>391</v>
      </c>
    </row>
    <row r="127" spans="2:25" ht="14" customHeight="1" x14ac:dyDescent="0.15">
      <c r="B127" s="72"/>
      <c r="C127" s="4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>
        <v>126</v>
      </c>
      <c r="X127" s="73" t="s">
        <v>388</v>
      </c>
      <c r="Y127" s="73" t="s">
        <v>393</v>
      </c>
    </row>
    <row r="128" spans="2:25" ht="14" customHeight="1" x14ac:dyDescent="0.15">
      <c r="B128" s="72"/>
      <c r="C128" s="4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>
        <v>127</v>
      </c>
      <c r="X128" s="73" t="s">
        <v>388</v>
      </c>
      <c r="Y128" s="73" t="s">
        <v>395</v>
      </c>
    </row>
    <row r="129" spans="2:25" ht="14" customHeight="1" x14ac:dyDescent="0.15">
      <c r="B129" s="72"/>
      <c r="C129" s="4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>
        <v>128</v>
      </c>
      <c r="X129" s="73" t="s">
        <v>388</v>
      </c>
      <c r="Y129" s="73" t="s">
        <v>397</v>
      </c>
    </row>
    <row r="130" spans="2:25" ht="14" customHeight="1" x14ac:dyDescent="0.15">
      <c r="B130" s="72"/>
      <c r="C130" s="4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spans="2:25" ht="14" customHeight="1" x14ac:dyDescent="0.15">
      <c r="B131" s="72"/>
      <c r="C131" s="4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spans="2:25" ht="14" customHeight="1" x14ac:dyDescent="0.15">
      <c r="B132" s="72"/>
      <c r="C132" s="4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spans="2:25" ht="14" customHeight="1" x14ac:dyDescent="0.15">
      <c r="B133" s="72"/>
      <c r="C133" s="4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spans="2:25" ht="14" customHeight="1" x14ac:dyDescent="0.15">
      <c r="B134" s="72"/>
      <c r="C134" s="4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spans="2:25" ht="14" customHeight="1" x14ac:dyDescent="0.15">
      <c r="B135" s="72"/>
      <c r="C135" s="4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spans="2:25" ht="14" customHeight="1" x14ac:dyDescent="0.15">
      <c r="B136" s="72"/>
      <c r="C136" s="4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spans="2:25" ht="14" customHeight="1" x14ac:dyDescent="0.15">
      <c r="B137" s="72"/>
      <c r="C137" s="4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spans="2:25" ht="14" customHeight="1" x14ac:dyDescent="0.15">
      <c r="B138" s="72"/>
      <c r="C138" s="4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spans="2:25" ht="14" customHeight="1" x14ac:dyDescent="0.15">
      <c r="B139" s="72"/>
      <c r="C139" s="4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spans="2:25" ht="14" customHeight="1" x14ac:dyDescent="0.15">
      <c r="B140" s="72"/>
      <c r="C140" s="4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spans="2:25" ht="14" customHeight="1" x14ac:dyDescent="0.15">
      <c r="B141" s="72"/>
      <c r="C141" s="4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spans="2:25" ht="14" customHeight="1" x14ac:dyDescent="0.15">
      <c r="B142" s="72"/>
      <c r="C142" s="4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spans="2:25" ht="14" customHeight="1" x14ac:dyDescent="0.15">
      <c r="B143" s="72"/>
      <c r="C143" s="4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spans="2:25" ht="14" customHeight="1" x14ac:dyDescent="0.15">
      <c r="B144" s="72"/>
      <c r="C144" s="4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spans="2:3" ht="14" customHeight="1" x14ac:dyDescent="0.15">
      <c r="B145" s="72"/>
      <c r="C145" s="48"/>
    </row>
    <row r="146" spans="2:3" ht="14" customHeight="1" x14ac:dyDescent="0.15">
      <c r="B146" s="72"/>
      <c r="C146" s="48"/>
    </row>
    <row r="147" spans="2:3" ht="14" customHeight="1" x14ac:dyDescent="0.15">
      <c r="B147" s="72"/>
      <c r="C147" s="48"/>
    </row>
    <row r="148" spans="2:3" ht="14" customHeight="1" x14ac:dyDescent="0.15">
      <c r="B148" s="72"/>
      <c r="C148" s="48"/>
    </row>
    <row r="149" spans="2:3" ht="14" customHeight="1" x14ac:dyDescent="0.15">
      <c r="B149" s="72"/>
      <c r="C149" s="48"/>
    </row>
    <row r="150" spans="2:3" ht="14" customHeight="1" x14ac:dyDescent="0.15">
      <c r="B150" s="72"/>
      <c r="C150" s="48"/>
    </row>
    <row r="151" spans="2:3" ht="14" customHeight="1" x14ac:dyDescent="0.15">
      <c r="B151" s="72"/>
      <c r="C151" s="48"/>
    </row>
    <row r="152" spans="2:3" ht="14" customHeight="1" x14ac:dyDescent="0.15">
      <c r="B152" s="72"/>
      <c r="C152" s="48"/>
    </row>
    <row r="153" spans="2:3" ht="14" customHeight="1" x14ac:dyDescent="0.15">
      <c r="B153" s="72"/>
      <c r="C153" s="48"/>
    </row>
    <row r="154" spans="2:3" ht="14" customHeight="1" x14ac:dyDescent="0.15">
      <c r="B154" s="72"/>
      <c r="C154" s="48"/>
    </row>
    <row r="155" spans="2:3" ht="14" customHeight="1" x14ac:dyDescent="0.15">
      <c r="B155" s="72"/>
      <c r="C155" s="48"/>
    </row>
    <row r="156" spans="2:3" ht="14" customHeight="1" x14ac:dyDescent="0.15">
      <c r="B156" s="72"/>
      <c r="C156" s="48"/>
    </row>
    <row r="157" spans="2:3" ht="14" customHeight="1" x14ac:dyDescent="0.15">
      <c r="B157" s="72"/>
      <c r="C157" s="48"/>
    </row>
    <row r="158" spans="2:3" ht="14" customHeight="1" x14ac:dyDescent="0.15">
      <c r="B158" s="72"/>
      <c r="C158" s="48"/>
    </row>
    <row r="159" spans="2:3" ht="14" customHeight="1" x14ac:dyDescent="0.15">
      <c r="B159" s="72"/>
      <c r="C159" s="48"/>
    </row>
    <row r="160" spans="2:3" ht="14" customHeight="1" x14ac:dyDescent="0.15">
      <c r="B160" s="72"/>
      <c r="C160" s="48"/>
    </row>
    <row r="161" spans="2:3" ht="14" customHeight="1" x14ac:dyDescent="0.15">
      <c r="B161" s="72"/>
      <c r="C161" s="48"/>
    </row>
    <row r="162" spans="2:3" ht="14" customHeight="1" x14ac:dyDescent="0.15">
      <c r="B162" s="72"/>
      <c r="C162" s="48"/>
    </row>
    <row r="163" spans="2:3" ht="14" customHeight="1" x14ac:dyDescent="0.15">
      <c r="B163" s="72"/>
      <c r="C163" s="48"/>
    </row>
    <row r="164" spans="2:3" ht="14" customHeight="1" x14ac:dyDescent="0.15">
      <c r="B164" s="72"/>
      <c r="C164" s="48"/>
    </row>
    <row r="165" spans="2:3" ht="14" customHeight="1" x14ac:dyDescent="0.15">
      <c r="B165" s="72"/>
      <c r="C165" s="48"/>
    </row>
    <row r="166" spans="2:3" ht="14" customHeight="1" x14ac:dyDescent="0.15">
      <c r="B166" s="72"/>
      <c r="C166" s="48"/>
    </row>
    <row r="167" spans="2:3" ht="14" customHeight="1" x14ac:dyDescent="0.15">
      <c r="B167" s="72"/>
      <c r="C167" s="48"/>
    </row>
    <row r="168" spans="2:3" ht="14" customHeight="1" x14ac:dyDescent="0.15">
      <c r="B168" s="72"/>
      <c r="C168" s="48"/>
    </row>
    <row r="169" spans="2:3" ht="14" customHeight="1" x14ac:dyDescent="0.15">
      <c r="B169" s="72"/>
      <c r="C169" s="48"/>
    </row>
    <row r="170" spans="2:3" ht="14" customHeight="1" x14ac:dyDescent="0.15">
      <c r="B170" s="72"/>
      <c r="C170" s="48"/>
    </row>
    <row r="171" spans="2:3" ht="14" customHeight="1" x14ac:dyDescent="0.15">
      <c r="B171" s="72"/>
      <c r="C171" s="48"/>
    </row>
    <row r="172" spans="2:3" ht="14" customHeight="1" x14ac:dyDescent="0.15">
      <c r="B172" s="72"/>
      <c r="C172" s="48"/>
    </row>
    <row r="173" spans="2:3" ht="14" customHeight="1" x14ac:dyDescent="0.15">
      <c r="B173" s="72"/>
      <c r="C173" s="48"/>
    </row>
    <row r="174" spans="2:3" ht="14" customHeight="1" x14ac:dyDescent="0.15">
      <c r="B174" s="72"/>
      <c r="C174" s="48"/>
    </row>
    <row r="175" spans="2:3" ht="14" customHeight="1" x14ac:dyDescent="0.15">
      <c r="B175" s="72"/>
      <c r="C175" s="48"/>
    </row>
    <row r="176" spans="2:3" ht="14" customHeight="1" x14ac:dyDescent="0.15">
      <c r="B176" s="72"/>
      <c r="C176" s="48"/>
    </row>
    <row r="177" spans="2:3" ht="14" customHeight="1" x14ac:dyDescent="0.15">
      <c r="B177" s="72"/>
      <c r="C177" s="48"/>
    </row>
    <row r="178" spans="2:3" ht="14" customHeight="1" x14ac:dyDescent="0.15">
      <c r="B178" s="72"/>
      <c r="C178" s="48"/>
    </row>
    <row r="179" spans="2:3" ht="14" customHeight="1" x14ac:dyDescent="0.15">
      <c r="B179" s="72"/>
      <c r="C179" s="48"/>
    </row>
    <row r="180" spans="2:3" ht="14" customHeight="1" x14ac:dyDescent="0.15">
      <c r="B180" s="72"/>
      <c r="C180" s="48"/>
    </row>
    <row r="181" spans="2:3" ht="14" customHeight="1" x14ac:dyDescent="0.15">
      <c r="B181" s="72"/>
      <c r="C181" s="48"/>
    </row>
    <row r="182" spans="2:3" ht="14" customHeight="1" x14ac:dyDescent="0.15">
      <c r="B182" s="72"/>
      <c r="C182" s="48"/>
    </row>
    <row r="183" spans="2:3" ht="14" customHeight="1" x14ac:dyDescent="0.15">
      <c r="B183" s="72"/>
      <c r="C183" s="48"/>
    </row>
    <row r="184" spans="2:3" ht="14" customHeight="1" x14ac:dyDescent="0.15">
      <c r="B184" s="72"/>
      <c r="C184" s="48"/>
    </row>
    <row r="185" spans="2:3" ht="14" customHeight="1" x14ac:dyDescent="0.15">
      <c r="B185" s="72"/>
      <c r="C185" s="48"/>
    </row>
    <row r="186" spans="2:3" ht="14" customHeight="1" x14ac:dyDescent="0.15">
      <c r="B186" s="72"/>
      <c r="C186" s="48"/>
    </row>
    <row r="187" spans="2:3" ht="14" customHeight="1" x14ac:dyDescent="0.15">
      <c r="B187" s="72"/>
      <c r="C187" s="48"/>
    </row>
    <row r="188" spans="2:3" ht="14" customHeight="1" x14ac:dyDescent="0.15">
      <c r="B188" s="72"/>
      <c r="C188" s="48"/>
    </row>
    <row r="189" spans="2:3" ht="14" customHeight="1" x14ac:dyDescent="0.15">
      <c r="B189" s="72"/>
      <c r="C189" s="48"/>
    </row>
    <row r="190" spans="2:3" ht="14" customHeight="1" x14ac:dyDescent="0.15">
      <c r="B190" s="72"/>
      <c r="C190" s="48"/>
    </row>
    <row r="191" spans="2:3" ht="14" customHeight="1" x14ac:dyDescent="0.15">
      <c r="B191" s="72"/>
      <c r="C191" s="48"/>
    </row>
    <row r="192" spans="2:3" ht="14" customHeight="1" x14ac:dyDescent="0.15">
      <c r="B192" s="72"/>
      <c r="C192" s="48"/>
    </row>
    <row r="193" spans="2:3" ht="14" customHeight="1" x14ac:dyDescent="0.15">
      <c r="B193" s="72"/>
      <c r="C193" s="48"/>
    </row>
    <row r="194" spans="2:3" ht="14" customHeight="1" x14ac:dyDescent="0.15">
      <c r="B194" s="72"/>
      <c r="C194" s="48"/>
    </row>
    <row r="195" spans="2:3" ht="14" customHeight="1" x14ac:dyDescent="0.15">
      <c r="B195" s="72"/>
      <c r="C195" s="48"/>
    </row>
    <row r="196" spans="2:3" ht="14" customHeight="1" x14ac:dyDescent="0.15">
      <c r="B196" s="72"/>
      <c r="C196" s="48"/>
    </row>
    <row r="197" spans="2:3" ht="14" customHeight="1" x14ac:dyDescent="0.15">
      <c r="B197" s="72"/>
      <c r="C197" s="48"/>
    </row>
    <row r="198" spans="2:3" ht="14" customHeight="1" x14ac:dyDescent="0.15">
      <c r="B198" s="72"/>
      <c r="C198" s="48"/>
    </row>
    <row r="199" spans="2:3" ht="14" customHeight="1" x14ac:dyDescent="0.15">
      <c r="B199" s="72"/>
      <c r="C199" s="48"/>
    </row>
    <row r="200" spans="2:3" ht="14" customHeight="1" x14ac:dyDescent="0.15">
      <c r="B200" s="72"/>
      <c r="C200" s="48"/>
    </row>
    <row r="201" spans="2:3" ht="14" customHeight="1" x14ac:dyDescent="0.15">
      <c r="B201" s="72"/>
      <c r="C201" s="48"/>
    </row>
    <row r="202" spans="2:3" ht="14" customHeight="1" x14ac:dyDescent="0.15">
      <c r="B202" s="72"/>
      <c r="C202" s="48"/>
    </row>
    <row r="203" spans="2:3" ht="14" customHeight="1" x14ac:dyDescent="0.15">
      <c r="B203" s="72"/>
      <c r="C203" s="48"/>
    </row>
    <row r="204" spans="2:3" ht="14" customHeight="1" x14ac:dyDescent="0.15">
      <c r="B204" s="72"/>
      <c r="C204" s="48"/>
    </row>
    <row r="205" spans="2:3" ht="14" customHeight="1" x14ac:dyDescent="0.15">
      <c r="B205" s="72"/>
      <c r="C205" s="48"/>
    </row>
    <row r="206" spans="2:3" ht="14" customHeight="1" x14ac:dyDescent="0.15">
      <c r="B206" s="72"/>
      <c r="C206" s="48"/>
    </row>
    <row r="207" spans="2:3" ht="14" customHeight="1" x14ac:dyDescent="0.15">
      <c r="B207" s="72"/>
      <c r="C207" s="48"/>
    </row>
    <row r="208" spans="2:3" ht="14" customHeight="1" x14ac:dyDescent="0.15">
      <c r="B208" s="72"/>
      <c r="C208" s="48"/>
    </row>
    <row r="209" spans="2:3" ht="14" customHeight="1" x14ac:dyDescent="0.15">
      <c r="B209" s="72"/>
      <c r="C209" s="48"/>
    </row>
    <row r="210" spans="2:3" ht="14" customHeight="1" x14ac:dyDescent="0.15">
      <c r="B210" s="72"/>
      <c r="C210" s="48"/>
    </row>
    <row r="211" spans="2:3" ht="14" customHeight="1" x14ac:dyDescent="0.15">
      <c r="B211" s="72"/>
      <c r="C211" s="48"/>
    </row>
    <row r="212" spans="2:3" ht="14" customHeight="1" x14ac:dyDescent="0.15">
      <c r="B212" s="72"/>
      <c r="C212" s="48"/>
    </row>
    <row r="213" spans="2:3" ht="14" customHeight="1" x14ac:dyDescent="0.15">
      <c r="B213" s="72"/>
      <c r="C213" s="48"/>
    </row>
    <row r="214" spans="2:3" ht="14" customHeight="1" x14ac:dyDescent="0.15">
      <c r="B214" s="72"/>
      <c r="C214" s="48"/>
    </row>
    <row r="215" spans="2:3" ht="14" customHeight="1" x14ac:dyDescent="0.15">
      <c r="B215" s="72"/>
      <c r="C215" s="48"/>
    </row>
    <row r="216" spans="2:3" ht="14" customHeight="1" x14ac:dyDescent="0.15">
      <c r="B216" s="72"/>
      <c r="C216" s="48"/>
    </row>
    <row r="217" spans="2:3" ht="14" customHeight="1" x14ac:dyDescent="0.15">
      <c r="B217" s="72"/>
      <c r="C217" s="48"/>
    </row>
    <row r="218" spans="2:3" ht="14" customHeight="1" x14ac:dyDescent="0.15">
      <c r="B218" s="72"/>
      <c r="C218" s="48"/>
    </row>
    <row r="219" spans="2:3" ht="14" customHeight="1" x14ac:dyDescent="0.15">
      <c r="B219" s="72"/>
      <c r="C219" s="48"/>
    </row>
    <row r="220" spans="2:3" ht="14" customHeight="1" x14ac:dyDescent="0.15">
      <c r="B220" s="72"/>
      <c r="C220" s="48"/>
    </row>
    <row r="221" spans="2:3" ht="14" customHeight="1" x14ac:dyDescent="0.15">
      <c r="B221" s="72"/>
      <c r="C221" s="48"/>
    </row>
    <row r="222" spans="2:3" ht="14" customHeight="1" x14ac:dyDescent="0.15">
      <c r="B222" s="72"/>
      <c r="C222" s="48"/>
    </row>
    <row r="223" spans="2:3" ht="14" customHeight="1" x14ac:dyDescent="0.15">
      <c r="B223" s="72"/>
      <c r="C223" s="48"/>
    </row>
    <row r="224" spans="2:3" ht="14" customHeight="1" x14ac:dyDescent="0.15">
      <c r="B224" s="72"/>
      <c r="C224" s="48"/>
    </row>
    <row r="225" spans="2:3" ht="14" customHeight="1" x14ac:dyDescent="0.15">
      <c r="B225" s="72"/>
      <c r="C225" s="48"/>
    </row>
    <row r="226" spans="2:3" ht="14" customHeight="1" x14ac:dyDescent="0.15">
      <c r="B226" s="72"/>
      <c r="C226" s="48"/>
    </row>
    <row r="227" spans="2:3" ht="14" customHeight="1" x14ac:dyDescent="0.15">
      <c r="B227" s="72"/>
      <c r="C227" s="48"/>
    </row>
    <row r="228" spans="2:3" ht="14" customHeight="1" x14ac:dyDescent="0.15">
      <c r="B228" s="72"/>
      <c r="C228" s="48"/>
    </row>
    <row r="229" spans="2:3" ht="14" customHeight="1" x14ac:dyDescent="0.15">
      <c r="B229" s="72"/>
      <c r="C229" s="48"/>
    </row>
    <row r="230" spans="2:3" ht="14" customHeight="1" x14ac:dyDescent="0.15">
      <c r="B230" s="72"/>
      <c r="C230" s="48"/>
    </row>
    <row r="231" spans="2:3" ht="14" customHeight="1" x14ac:dyDescent="0.15">
      <c r="B231" s="72"/>
      <c r="C231" s="48"/>
    </row>
    <row r="232" spans="2:3" ht="14" customHeight="1" x14ac:dyDescent="0.15">
      <c r="B232" s="72"/>
      <c r="C232" s="48"/>
    </row>
    <row r="233" spans="2:3" ht="14" customHeight="1" x14ac:dyDescent="0.15">
      <c r="B233" s="72"/>
      <c r="C233" s="48"/>
    </row>
    <row r="234" spans="2:3" ht="14" customHeight="1" x14ac:dyDescent="0.15">
      <c r="B234" s="72"/>
      <c r="C234" s="48"/>
    </row>
    <row r="235" spans="2:3" ht="14" customHeight="1" x14ac:dyDescent="0.15">
      <c r="B235" s="72"/>
      <c r="C235" s="48"/>
    </row>
    <row r="236" spans="2:3" ht="14" customHeight="1" x14ac:dyDescent="0.15">
      <c r="B236" s="72"/>
      <c r="C236" s="48"/>
    </row>
    <row r="237" spans="2:3" ht="14" customHeight="1" x14ac:dyDescent="0.15">
      <c r="B237" s="72"/>
      <c r="C237" s="48"/>
    </row>
    <row r="238" spans="2:3" ht="14" customHeight="1" x14ac:dyDescent="0.15">
      <c r="B238" s="72"/>
      <c r="C238" s="48"/>
    </row>
    <row r="239" spans="2:3" ht="14" customHeight="1" x14ac:dyDescent="0.15">
      <c r="B239" s="72"/>
      <c r="C239" s="48"/>
    </row>
    <row r="240" spans="2:3" ht="14" customHeight="1" x14ac:dyDescent="0.15">
      <c r="B240" s="72"/>
      <c r="C240" s="48"/>
    </row>
    <row r="241" spans="2:3" ht="14" customHeight="1" x14ac:dyDescent="0.15">
      <c r="B241" s="72"/>
      <c r="C241" s="48"/>
    </row>
    <row r="242" spans="2:3" ht="14" customHeight="1" x14ac:dyDescent="0.15">
      <c r="B242" s="72"/>
      <c r="C242" s="48"/>
    </row>
    <row r="243" spans="2:3" ht="14" customHeight="1" x14ac:dyDescent="0.15">
      <c r="B243" s="72"/>
      <c r="C243" s="48"/>
    </row>
    <row r="244" spans="2:3" ht="14" customHeight="1" x14ac:dyDescent="0.15">
      <c r="B244" s="72"/>
      <c r="C244" s="48"/>
    </row>
    <row r="245" spans="2:3" ht="14" customHeight="1" x14ac:dyDescent="0.15">
      <c r="B245" s="72"/>
      <c r="C245" s="48"/>
    </row>
    <row r="246" spans="2:3" ht="14" customHeight="1" x14ac:dyDescent="0.15">
      <c r="B246" s="72"/>
      <c r="C246" s="48"/>
    </row>
    <row r="247" spans="2:3" ht="14" customHeight="1" x14ac:dyDescent="0.15">
      <c r="B247" s="72"/>
      <c r="C247" s="48"/>
    </row>
    <row r="248" spans="2:3" ht="14" customHeight="1" x14ac:dyDescent="0.15">
      <c r="B248" s="72"/>
      <c r="C248" s="48"/>
    </row>
    <row r="249" spans="2:3" ht="14" customHeight="1" x14ac:dyDescent="0.15">
      <c r="B249" s="72"/>
      <c r="C249" s="48"/>
    </row>
    <row r="250" spans="2:3" ht="14" customHeight="1" x14ac:dyDescent="0.15">
      <c r="B250" s="72"/>
      <c r="C250" s="48"/>
    </row>
    <row r="251" spans="2:3" ht="14" customHeight="1" x14ac:dyDescent="0.15">
      <c r="B251" s="72"/>
      <c r="C251" s="48"/>
    </row>
    <row r="252" spans="2:3" ht="14" customHeight="1" x14ac:dyDescent="0.15">
      <c r="B252" s="72"/>
      <c r="C252" s="48"/>
    </row>
    <row r="253" spans="2:3" ht="14" customHeight="1" x14ac:dyDescent="0.15">
      <c r="B253" s="72"/>
      <c r="C253" s="48"/>
    </row>
    <row r="254" spans="2:3" ht="14" customHeight="1" x14ac:dyDescent="0.15">
      <c r="B254" s="72"/>
      <c r="C254" s="48"/>
    </row>
    <row r="255" spans="2:3" ht="14" customHeight="1" x14ac:dyDescent="0.15">
      <c r="B255" s="72"/>
      <c r="C255" s="48"/>
    </row>
    <row r="256" spans="2:3" ht="14" customHeight="1" x14ac:dyDescent="0.15">
      <c r="B256" s="72"/>
      <c r="C256" s="48"/>
    </row>
    <row r="257" spans="2:3" ht="14" customHeight="1" x14ac:dyDescent="0.15">
      <c r="B257" s="72"/>
      <c r="C257" s="48"/>
    </row>
    <row r="258" spans="2:3" ht="14" customHeight="1" x14ac:dyDescent="0.15">
      <c r="B258" s="72"/>
      <c r="C258" s="48"/>
    </row>
    <row r="259" spans="2:3" ht="14" customHeight="1" x14ac:dyDescent="0.15">
      <c r="B259" s="72"/>
      <c r="C259" s="48"/>
    </row>
    <row r="260" spans="2:3" ht="14" customHeight="1" x14ac:dyDescent="0.15">
      <c r="B260" s="72"/>
      <c r="C260" s="48"/>
    </row>
    <row r="261" spans="2:3" ht="14" customHeight="1" x14ac:dyDescent="0.15">
      <c r="B261" s="72"/>
      <c r="C261" s="48"/>
    </row>
    <row r="262" spans="2:3" ht="14" customHeight="1" x14ac:dyDescent="0.15">
      <c r="B262" s="72"/>
      <c r="C262" s="48"/>
    </row>
    <row r="263" spans="2:3" ht="14" customHeight="1" x14ac:dyDescent="0.15">
      <c r="B263" s="72"/>
      <c r="C263" s="48"/>
    </row>
    <row r="264" spans="2:3" ht="14" customHeight="1" x14ac:dyDescent="0.15">
      <c r="B264" s="72"/>
      <c r="C264" s="48"/>
    </row>
    <row r="265" spans="2:3" ht="14" customHeight="1" x14ac:dyDescent="0.15">
      <c r="B265" s="72"/>
      <c r="C265" s="48"/>
    </row>
    <row r="266" spans="2:3" ht="14" customHeight="1" x14ac:dyDescent="0.15">
      <c r="B266" s="72"/>
      <c r="C266" s="48"/>
    </row>
    <row r="267" spans="2:3" ht="14" customHeight="1" x14ac:dyDescent="0.15">
      <c r="B267" s="72"/>
      <c r="C267" s="48"/>
    </row>
    <row r="268" spans="2:3" ht="14" customHeight="1" x14ac:dyDescent="0.15">
      <c r="B268" s="72"/>
      <c r="C268" s="48"/>
    </row>
    <row r="269" spans="2:3" ht="14" customHeight="1" x14ac:dyDescent="0.15">
      <c r="B269" s="72"/>
      <c r="C269" s="48"/>
    </row>
    <row r="270" spans="2:3" ht="14" customHeight="1" x14ac:dyDescent="0.15">
      <c r="B270" s="72"/>
      <c r="C270" s="48"/>
    </row>
    <row r="271" spans="2:3" ht="14" customHeight="1" x14ac:dyDescent="0.15">
      <c r="B271" s="72"/>
      <c r="C271" s="48"/>
    </row>
    <row r="272" spans="2:3" ht="14" customHeight="1" x14ac:dyDescent="0.15">
      <c r="B272" s="72"/>
      <c r="C272" s="48"/>
    </row>
    <row r="273" spans="2:3" ht="14" customHeight="1" x14ac:dyDescent="0.15">
      <c r="B273" s="72"/>
      <c r="C273" s="48"/>
    </row>
    <row r="274" spans="2:3" ht="14" customHeight="1" x14ac:dyDescent="0.15">
      <c r="B274" s="72"/>
      <c r="C274" s="48"/>
    </row>
    <row r="275" spans="2:3" ht="14" customHeight="1" x14ac:dyDescent="0.15">
      <c r="B275" s="72"/>
      <c r="C275" s="48"/>
    </row>
    <row r="276" spans="2:3" ht="14" customHeight="1" x14ac:dyDescent="0.15">
      <c r="B276" s="72"/>
      <c r="C276" s="48"/>
    </row>
    <row r="277" spans="2:3" ht="14" customHeight="1" x14ac:dyDescent="0.15">
      <c r="B277" s="72"/>
      <c r="C277" s="48"/>
    </row>
    <row r="278" spans="2:3" ht="14" customHeight="1" x14ac:dyDescent="0.15">
      <c r="B278" s="72"/>
      <c r="C278" s="48"/>
    </row>
    <row r="279" spans="2:3" ht="14" customHeight="1" x14ac:dyDescent="0.15">
      <c r="B279" s="72"/>
      <c r="C279" s="48"/>
    </row>
    <row r="280" spans="2:3" ht="14" customHeight="1" x14ac:dyDescent="0.15">
      <c r="B280" s="72"/>
      <c r="C280" s="48"/>
    </row>
    <row r="281" spans="2:3" ht="14" customHeight="1" x14ac:dyDescent="0.15">
      <c r="B281" s="72"/>
      <c r="C281" s="48"/>
    </row>
    <row r="282" spans="2:3" ht="14" customHeight="1" x14ac:dyDescent="0.15">
      <c r="B282" s="72"/>
      <c r="C282" s="48"/>
    </row>
    <row r="283" spans="2:3" ht="14" customHeight="1" x14ac:dyDescent="0.15">
      <c r="B283" s="72"/>
      <c r="C283" s="48"/>
    </row>
    <row r="284" spans="2:3" ht="14" customHeight="1" x14ac:dyDescent="0.15">
      <c r="B284" s="72"/>
      <c r="C284" s="48"/>
    </row>
    <row r="285" spans="2:3" ht="14" customHeight="1" x14ac:dyDescent="0.15">
      <c r="B285" s="72"/>
      <c r="C285" s="48"/>
    </row>
    <row r="286" spans="2:3" ht="14" customHeight="1" x14ac:dyDescent="0.15">
      <c r="B286" s="72"/>
      <c r="C286" s="48"/>
    </row>
    <row r="287" spans="2:3" ht="14" customHeight="1" x14ac:dyDescent="0.15">
      <c r="B287" s="72"/>
      <c r="C287" s="48"/>
    </row>
    <row r="288" spans="2:3" ht="14" customHeight="1" x14ac:dyDescent="0.15">
      <c r="B288" s="72"/>
      <c r="C288" s="48"/>
    </row>
    <row r="289" spans="2:3" ht="14" customHeight="1" x14ac:dyDescent="0.15">
      <c r="B289" s="72"/>
      <c r="C289" s="48"/>
    </row>
    <row r="290" spans="2:3" ht="14" customHeight="1" x14ac:dyDescent="0.15">
      <c r="B290" s="72"/>
      <c r="C290" s="48"/>
    </row>
    <row r="291" spans="2:3" ht="14" customHeight="1" x14ac:dyDescent="0.15">
      <c r="B291" s="72"/>
      <c r="C291" s="48"/>
    </row>
    <row r="292" spans="2:3" ht="14" customHeight="1" x14ac:dyDescent="0.15">
      <c r="B292" s="72"/>
      <c r="C292" s="48"/>
    </row>
    <row r="293" spans="2:3" ht="14" customHeight="1" x14ac:dyDescent="0.15">
      <c r="B293" s="72"/>
      <c r="C293" s="48"/>
    </row>
    <row r="294" spans="2:3" ht="14" customHeight="1" x14ac:dyDescent="0.15">
      <c r="B294" s="72"/>
      <c r="C294" s="48"/>
    </row>
    <row r="295" spans="2:3" ht="14" customHeight="1" x14ac:dyDescent="0.15">
      <c r="B295" s="72"/>
      <c r="C295" s="48"/>
    </row>
    <row r="296" spans="2:3" ht="14" customHeight="1" x14ac:dyDescent="0.15">
      <c r="B296" s="72"/>
      <c r="C296" s="48"/>
    </row>
    <row r="297" spans="2:3" ht="14" customHeight="1" x14ac:dyDescent="0.15">
      <c r="B297" s="72"/>
      <c r="C297" s="48"/>
    </row>
    <row r="298" spans="2:3" ht="14" customHeight="1" x14ac:dyDescent="0.15">
      <c r="B298" s="72"/>
      <c r="C298" s="48"/>
    </row>
    <row r="299" spans="2:3" ht="14" customHeight="1" x14ac:dyDescent="0.15">
      <c r="B299" s="72"/>
      <c r="C299" s="48"/>
    </row>
    <row r="300" spans="2:3" ht="14" customHeight="1" x14ac:dyDescent="0.15">
      <c r="B300" s="72"/>
      <c r="C300" s="48"/>
    </row>
    <row r="301" spans="2:3" ht="14" customHeight="1" x14ac:dyDescent="0.15">
      <c r="B301" s="72"/>
      <c r="C301" s="48"/>
    </row>
    <row r="302" spans="2:3" ht="14" customHeight="1" x14ac:dyDescent="0.15">
      <c r="B302" s="72"/>
      <c r="C302" s="48"/>
    </row>
    <row r="303" spans="2:3" ht="14" customHeight="1" x14ac:dyDescent="0.15">
      <c r="B303" s="72"/>
      <c r="C303" s="48"/>
    </row>
    <row r="304" spans="2:3" ht="14" customHeight="1" x14ac:dyDescent="0.15">
      <c r="B304" s="72"/>
      <c r="C304" s="48"/>
    </row>
    <row r="305" spans="2:3" ht="14" customHeight="1" x14ac:dyDescent="0.15">
      <c r="B305" s="72"/>
      <c r="C305" s="48"/>
    </row>
    <row r="306" spans="2:3" ht="14" customHeight="1" x14ac:dyDescent="0.15">
      <c r="B306" s="72"/>
      <c r="C306" s="48"/>
    </row>
    <row r="307" spans="2:3" ht="14" customHeight="1" x14ac:dyDescent="0.15">
      <c r="B307" s="72"/>
      <c r="C307" s="48"/>
    </row>
    <row r="308" spans="2:3" ht="14" customHeight="1" x14ac:dyDescent="0.15">
      <c r="B308" s="72"/>
      <c r="C308" s="48"/>
    </row>
    <row r="309" spans="2:3" ht="14" customHeight="1" x14ac:dyDescent="0.15">
      <c r="B309" s="72"/>
      <c r="C309" s="48"/>
    </row>
    <row r="310" spans="2:3" ht="14" customHeight="1" x14ac:dyDescent="0.15">
      <c r="B310" s="72"/>
      <c r="C310" s="48"/>
    </row>
    <row r="311" spans="2:3" ht="14" customHeight="1" x14ac:dyDescent="0.15">
      <c r="B311" s="72"/>
      <c r="C311" s="48"/>
    </row>
    <row r="312" spans="2:3" ht="14" customHeight="1" x14ac:dyDescent="0.15">
      <c r="B312" s="72"/>
      <c r="C312" s="48"/>
    </row>
    <row r="313" spans="2:3" ht="14" customHeight="1" x14ac:dyDescent="0.15">
      <c r="B313" s="72"/>
      <c r="C313" s="48"/>
    </row>
    <row r="314" spans="2:3" ht="14" customHeight="1" x14ac:dyDescent="0.15">
      <c r="B314" s="72"/>
      <c r="C314" s="48"/>
    </row>
    <row r="315" spans="2:3" ht="14" customHeight="1" x14ac:dyDescent="0.15">
      <c r="B315" s="72"/>
      <c r="C315" s="48"/>
    </row>
    <row r="316" spans="2:3" ht="14" customHeight="1" x14ac:dyDescent="0.15">
      <c r="B316" s="72"/>
      <c r="C316" s="48"/>
    </row>
    <row r="317" spans="2:3" ht="14" customHeight="1" x14ac:dyDescent="0.15">
      <c r="B317" s="72"/>
      <c r="C317" s="48"/>
    </row>
    <row r="318" spans="2:3" ht="14" customHeight="1" x14ac:dyDescent="0.15">
      <c r="B318" s="72"/>
      <c r="C318" s="48"/>
    </row>
    <row r="319" spans="2:3" ht="14" customHeight="1" x14ac:dyDescent="0.15">
      <c r="B319" s="72"/>
      <c r="C319" s="48"/>
    </row>
    <row r="320" spans="2:3" ht="14" customHeight="1" x14ac:dyDescent="0.15">
      <c r="B320" s="72"/>
      <c r="C320" s="48"/>
    </row>
    <row r="321" spans="2:3" ht="14" customHeight="1" x14ac:dyDescent="0.15">
      <c r="B321" s="72"/>
      <c r="C321" s="48"/>
    </row>
    <row r="322" spans="2:3" ht="14" customHeight="1" x14ac:dyDescent="0.15">
      <c r="B322" s="72"/>
      <c r="C322" s="48"/>
    </row>
    <row r="323" spans="2:3" ht="14" customHeight="1" x14ac:dyDescent="0.15">
      <c r="B323" s="72"/>
      <c r="C323" s="48"/>
    </row>
    <row r="324" spans="2:3" ht="14" customHeight="1" x14ac:dyDescent="0.15">
      <c r="B324" s="72"/>
      <c r="C324" s="48"/>
    </row>
    <row r="325" spans="2:3" ht="14" customHeight="1" x14ac:dyDescent="0.15">
      <c r="B325" s="72"/>
      <c r="C325" s="48"/>
    </row>
    <row r="326" spans="2:3" ht="14" customHeight="1" x14ac:dyDescent="0.15">
      <c r="B326" s="72"/>
      <c r="C326" s="48"/>
    </row>
    <row r="327" spans="2:3" ht="14" customHeight="1" x14ac:dyDescent="0.15">
      <c r="B327" s="72"/>
      <c r="C327" s="48"/>
    </row>
    <row r="328" spans="2:3" ht="14" customHeight="1" x14ac:dyDescent="0.15">
      <c r="B328" s="72"/>
      <c r="C328" s="48"/>
    </row>
    <row r="329" spans="2:3" ht="14" customHeight="1" x14ac:dyDescent="0.15">
      <c r="B329" s="72"/>
      <c r="C329" s="48"/>
    </row>
    <row r="330" spans="2:3" ht="14" customHeight="1" x14ac:dyDescent="0.15">
      <c r="B330" s="72"/>
      <c r="C330" s="48"/>
    </row>
    <row r="331" spans="2:3" ht="14" customHeight="1" x14ac:dyDescent="0.15">
      <c r="B331" s="72"/>
      <c r="C331" s="48"/>
    </row>
    <row r="332" spans="2:3" ht="14" customHeight="1" x14ac:dyDescent="0.15">
      <c r="B332" s="72"/>
      <c r="C332" s="48"/>
    </row>
    <row r="333" spans="2:3" ht="14" customHeight="1" x14ac:dyDescent="0.15">
      <c r="B333" s="72"/>
      <c r="C333" s="48"/>
    </row>
    <row r="334" spans="2:3" ht="14" customHeight="1" x14ac:dyDescent="0.15">
      <c r="B334" s="72"/>
      <c r="C334" s="48"/>
    </row>
    <row r="335" spans="2:3" ht="14" customHeight="1" x14ac:dyDescent="0.15">
      <c r="B335" s="72"/>
      <c r="C335" s="48"/>
    </row>
    <row r="336" spans="2:3" ht="14" customHeight="1" x14ac:dyDescent="0.15">
      <c r="B336" s="72"/>
      <c r="C336" s="48"/>
    </row>
    <row r="337" spans="2:3" ht="14" customHeight="1" x14ac:dyDescent="0.15">
      <c r="B337" s="72"/>
      <c r="C337" s="48"/>
    </row>
    <row r="338" spans="2:3" ht="14" customHeight="1" x14ac:dyDescent="0.15">
      <c r="B338" s="72"/>
      <c r="C338" s="48"/>
    </row>
    <row r="339" spans="2:3" ht="14" customHeight="1" x14ac:dyDescent="0.15">
      <c r="B339" s="72"/>
      <c r="C339" s="48"/>
    </row>
    <row r="340" spans="2:3" ht="14" customHeight="1" x14ac:dyDescent="0.15">
      <c r="B340" s="72"/>
      <c r="C340" s="48"/>
    </row>
    <row r="341" spans="2:3" ht="14" customHeight="1" x14ac:dyDescent="0.15">
      <c r="B341" s="72"/>
      <c r="C341" s="48"/>
    </row>
    <row r="342" spans="2:3" ht="14" customHeight="1" x14ac:dyDescent="0.15">
      <c r="B342" s="72"/>
      <c r="C342" s="48"/>
    </row>
    <row r="343" spans="2:3" ht="14" customHeight="1" x14ac:dyDescent="0.15">
      <c r="B343" s="72"/>
      <c r="C343" s="48"/>
    </row>
    <row r="344" spans="2:3" ht="14" customHeight="1" x14ac:dyDescent="0.15">
      <c r="B344" s="72"/>
      <c r="C344" s="48"/>
    </row>
    <row r="345" spans="2:3" ht="14" customHeight="1" x14ac:dyDescent="0.15">
      <c r="B345" s="72"/>
      <c r="C345" s="48"/>
    </row>
    <row r="346" spans="2:3" ht="14" customHeight="1" x14ac:dyDescent="0.15">
      <c r="B346" s="72"/>
      <c r="C346" s="48"/>
    </row>
    <row r="347" spans="2:3" ht="14" customHeight="1" x14ac:dyDescent="0.15">
      <c r="B347" s="72"/>
      <c r="C347" s="48"/>
    </row>
    <row r="348" spans="2:3" ht="14" customHeight="1" x14ac:dyDescent="0.15">
      <c r="B348" s="72"/>
      <c r="C348" s="48"/>
    </row>
    <row r="349" spans="2:3" ht="14" customHeight="1" x14ac:dyDescent="0.15">
      <c r="B349" s="72"/>
      <c r="C349" s="48"/>
    </row>
    <row r="350" spans="2:3" ht="14" customHeight="1" x14ac:dyDescent="0.15">
      <c r="B350" s="72"/>
      <c r="C350" s="48"/>
    </row>
    <row r="351" spans="2:3" ht="14" customHeight="1" x14ac:dyDescent="0.15">
      <c r="B351" s="72"/>
      <c r="C351" s="48"/>
    </row>
    <row r="352" spans="2:3" ht="14" customHeight="1" x14ac:dyDescent="0.15">
      <c r="B352" s="72"/>
      <c r="C352" s="48"/>
    </row>
    <row r="353" spans="2:3" ht="14" customHeight="1" x14ac:dyDescent="0.15">
      <c r="B353" s="72"/>
      <c r="C353" s="48"/>
    </row>
    <row r="354" spans="2:3" ht="14" customHeight="1" x14ac:dyDescent="0.15">
      <c r="B354" s="72"/>
      <c r="C354" s="48"/>
    </row>
    <row r="355" spans="2:3" ht="14" customHeight="1" x14ac:dyDescent="0.15">
      <c r="B355" s="72"/>
      <c r="C355" s="48"/>
    </row>
    <row r="356" spans="2:3" ht="14" customHeight="1" x14ac:dyDescent="0.15">
      <c r="B356" s="72"/>
      <c r="C356" s="48"/>
    </row>
    <row r="357" spans="2:3" ht="14" customHeight="1" x14ac:dyDescent="0.15">
      <c r="B357" s="72"/>
      <c r="C357" s="48"/>
    </row>
    <row r="358" spans="2:3" ht="14" customHeight="1" x14ac:dyDescent="0.15">
      <c r="B358" s="72"/>
      <c r="C358" s="48"/>
    </row>
    <row r="359" spans="2:3" ht="14" customHeight="1" x14ac:dyDescent="0.15">
      <c r="B359" s="72"/>
      <c r="C359" s="48"/>
    </row>
    <row r="360" spans="2:3" ht="14" customHeight="1" x14ac:dyDescent="0.15">
      <c r="B360" s="72"/>
      <c r="C360" s="48"/>
    </row>
    <row r="361" spans="2:3" ht="14" customHeight="1" x14ac:dyDescent="0.15">
      <c r="B361" s="72"/>
      <c r="C361" s="48"/>
    </row>
    <row r="362" spans="2:3" ht="14" customHeight="1" x14ac:dyDescent="0.15">
      <c r="B362" s="72"/>
      <c r="C362" s="48"/>
    </row>
    <row r="363" spans="2:3" ht="14" customHeight="1" x14ac:dyDescent="0.15">
      <c r="B363" s="72"/>
      <c r="C363" s="48"/>
    </row>
    <row r="364" spans="2:3" ht="14" customHeight="1" x14ac:dyDescent="0.15">
      <c r="B364" s="72"/>
      <c r="C364" s="48"/>
    </row>
    <row r="365" spans="2:3" ht="14" customHeight="1" x14ac:dyDescent="0.15">
      <c r="B365" s="72"/>
      <c r="C365" s="48"/>
    </row>
    <row r="366" spans="2:3" ht="14" customHeight="1" x14ac:dyDescent="0.15">
      <c r="B366" s="72"/>
      <c r="C366" s="48"/>
    </row>
    <row r="367" spans="2:3" ht="14" customHeight="1" x14ac:dyDescent="0.15">
      <c r="B367" s="72"/>
      <c r="C367" s="48"/>
    </row>
    <row r="368" spans="2:3" ht="14" customHeight="1" x14ac:dyDescent="0.15">
      <c r="B368" s="72"/>
      <c r="C368" s="48"/>
    </row>
    <row r="369" spans="2:3" ht="14" customHeight="1" x14ac:dyDescent="0.15">
      <c r="B369" s="72"/>
      <c r="C369" s="48"/>
    </row>
    <row r="370" spans="2:3" ht="14" customHeight="1" x14ac:dyDescent="0.15">
      <c r="B370" s="72"/>
      <c r="C370" s="48"/>
    </row>
    <row r="371" spans="2:3" ht="14" customHeight="1" x14ac:dyDescent="0.15">
      <c r="B371" s="72"/>
      <c r="C371" s="48"/>
    </row>
    <row r="372" spans="2:3" ht="14" customHeight="1" x14ac:dyDescent="0.15">
      <c r="B372" s="72"/>
      <c r="C372" s="48"/>
    </row>
    <row r="373" spans="2:3" ht="14" customHeight="1" x14ac:dyDescent="0.15">
      <c r="B373" s="72"/>
      <c r="C373" s="48"/>
    </row>
    <row r="374" spans="2:3" ht="14" customHeight="1" x14ac:dyDescent="0.15">
      <c r="B374" s="72"/>
      <c r="C374" s="48"/>
    </row>
    <row r="375" spans="2:3" ht="14" customHeight="1" x14ac:dyDescent="0.15">
      <c r="B375" s="72"/>
      <c r="C375" s="48"/>
    </row>
    <row r="376" spans="2:3" ht="14" customHeight="1" x14ac:dyDescent="0.15">
      <c r="B376" s="72"/>
      <c r="C376" s="48"/>
    </row>
    <row r="377" spans="2:3" ht="14" customHeight="1" x14ac:dyDescent="0.15">
      <c r="B377" s="72"/>
      <c r="C377" s="48"/>
    </row>
    <row r="378" spans="2:3" ht="14" customHeight="1" x14ac:dyDescent="0.15">
      <c r="B378" s="72"/>
      <c r="C378" s="48"/>
    </row>
    <row r="379" spans="2:3" ht="14" customHeight="1" x14ac:dyDescent="0.15">
      <c r="B379" s="72"/>
      <c r="C379" s="48"/>
    </row>
    <row r="380" spans="2:3" ht="14" customHeight="1" x14ac:dyDescent="0.15">
      <c r="B380" s="72"/>
      <c r="C380" s="48"/>
    </row>
    <row r="381" spans="2:3" ht="14" customHeight="1" x14ac:dyDescent="0.15">
      <c r="B381" s="72"/>
      <c r="C381" s="48"/>
    </row>
    <row r="382" spans="2:3" ht="14" customHeight="1" x14ac:dyDescent="0.15">
      <c r="B382" s="72"/>
      <c r="C382" s="48"/>
    </row>
    <row r="383" spans="2:3" ht="14" customHeight="1" x14ac:dyDescent="0.15">
      <c r="B383" s="72"/>
      <c r="C383" s="48"/>
    </row>
    <row r="384" spans="2:3" ht="14" customHeight="1" x14ac:dyDescent="0.15">
      <c r="B384" s="72"/>
      <c r="C384" s="48"/>
    </row>
    <row r="385" spans="2:3" ht="14" customHeight="1" x14ac:dyDescent="0.15">
      <c r="B385" s="72"/>
      <c r="C385" s="48"/>
    </row>
    <row r="386" spans="2:3" ht="14" customHeight="1" x14ac:dyDescent="0.15">
      <c r="B386" s="72"/>
      <c r="C386" s="48"/>
    </row>
    <row r="387" spans="2:3" ht="14" customHeight="1" x14ac:dyDescent="0.15">
      <c r="B387" s="72"/>
      <c r="C387" s="48"/>
    </row>
    <row r="388" spans="2:3" ht="14" customHeight="1" x14ac:dyDescent="0.15">
      <c r="B388" s="72"/>
      <c r="C388" s="48"/>
    </row>
    <row r="389" spans="2:3" ht="14" customHeight="1" x14ac:dyDescent="0.15">
      <c r="B389" s="72"/>
      <c r="C389" s="48"/>
    </row>
    <row r="390" spans="2:3" ht="14" customHeight="1" x14ac:dyDescent="0.15">
      <c r="B390" s="72"/>
      <c r="C390" s="48"/>
    </row>
    <row r="391" spans="2:3" ht="14" customHeight="1" x14ac:dyDescent="0.15">
      <c r="B391" s="72"/>
      <c r="C391" s="48"/>
    </row>
    <row r="392" spans="2:3" ht="14" customHeight="1" x14ac:dyDescent="0.15">
      <c r="B392" s="72"/>
      <c r="C392" s="48"/>
    </row>
    <row r="393" spans="2:3" ht="14" customHeight="1" x14ac:dyDescent="0.15">
      <c r="B393" s="72"/>
      <c r="C393" s="48"/>
    </row>
    <row r="394" spans="2:3" ht="14" customHeight="1" x14ac:dyDescent="0.15">
      <c r="B394" s="72"/>
      <c r="C394" s="48"/>
    </row>
    <row r="395" spans="2:3" ht="14" customHeight="1" x14ac:dyDescent="0.15">
      <c r="B395" s="72"/>
      <c r="C395" s="48"/>
    </row>
    <row r="396" spans="2:3" ht="14" customHeight="1" x14ac:dyDescent="0.15">
      <c r="B396" s="72"/>
      <c r="C396" s="48"/>
    </row>
    <row r="397" spans="2:3" ht="14" customHeight="1" x14ac:dyDescent="0.15">
      <c r="B397" s="72"/>
      <c r="C397" s="48"/>
    </row>
    <row r="398" spans="2:3" ht="14" customHeight="1" x14ac:dyDescent="0.15">
      <c r="B398" s="72"/>
      <c r="C398" s="48"/>
    </row>
    <row r="399" spans="2:3" ht="14" customHeight="1" x14ac:dyDescent="0.15">
      <c r="B399" s="72"/>
      <c r="C399" s="48"/>
    </row>
    <row r="400" spans="2:3" ht="14" customHeight="1" x14ac:dyDescent="0.15">
      <c r="B400" s="72"/>
      <c r="C400" s="48"/>
    </row>
    <row r="401" spans="2:3" ht="14" customHeight="1" x14ac:dyDescent="0.15">
      <c r="B401" s="72"/>
      <c r="C401" s="48"/>
    </row>
    <row r="402" spans="2:3" ht="14" customHeight="1" x14ac:dyDescent="0.15">
      <c r="B402" s="72"/>
      <c r="C402" s="48"/>
    </row>
    <row r="403" spans="2:3" ht="14" customHeight="1" x14ac:dyDescent="0.15">
      <c r="B403" s="72"/>
      <c r="C403" s="48"/>
    </row>
    <row r="404" spans="2:3" ht="14" customHeight="1" x14ac:dyDescent="0.15">
      <c r="B404" s="72"/>
      <c r="C404" s="48"/>
    </row>
    <row r="405" spans="2:3" ht="14" customHeight="1" x14ac:dyDescent="0.15">
      <c r="B405" s="72"/>
      <c r="C405" s="48"/>
    </row>
    <row r="406" spans="2:3" ht="14" customHeight="1" x14ac:dyDescent="0.15">
      <c r="B406" s="72"/>
      <c r="C406" s="48"/>
    </row>
    <row r="407" spans="2:3" ht="14" customHeight="1" x14ac:dyDescent="0.15">
      <c r="B407" s="72"/>
      <c r="C407" s="48"/>
    </row>
    <row r="408" spans="2:3" ht="14" customHeight="1" x14ac:dyDescent="0.15">
      <c r="B408" s="72"/>
      <c r="C408" s="48"/>
    </row>
    <row r="409" spans="2:3" ht="14" customHeight="1" x14ac:dyDescent="0.15">
      <c r="B409" s="72"/>
      <c r="C409" s="48"/>
    </row>
    <row r="410" spans="2:3" ht="14" customHeight="1" x14ac:dyDescent="0.15">
      <c r="B410" s="72"/>
      <c r="C410" s="48"/>
    </row>
    <row r="411" spans="2:3" ht="14" customHeight="1" x14ac:dyDescent="0.15">
      <c r="B411" s="72"/>
      <c r="C411" s="48"/>
    </row>
    <row r="412" spans="2:3" ht="14" customHeight="1" x14ac:dyDescent="0.15">
      <c r="B412" s="72"/>
      <c r="C412" s="48"/>
    </row>
    <row r="413" spans="2:3" ht="14" customHeight="1" x14ac:dyDescent="0.15">
      <c r="B413" s="72"/>
      <c r="C413" s="48"/>
    </row>
    <row r="414" spans="2:3" ht="14" customHeight="1" x14ac:dyDescent="0.15">
      <c r="B414" s="72"/>
      <c r="C414" s="48"/>
    </row>
    <row r="415" spans="2:3" ht="14" customHeight="1" x14ac:dyDescent="0.15">
      <c r="B415" s="72"/>
      <c r="C415" s="48"/>
    </row>
    <row r="416" spans="2:3" ht="14" customHeight="1" x14ac:dyDescent="0.15">
      <c r="B416" s="72"/>
      <c r="C416" s="48"/>
    </row>
    <row r="417" spans="2:3" ht="14" customHeight="1" x14ac:dyDescent="0.15">
      <c r="B417" s="72"/>
      <c r="C417" s="48"/>
    </row>
    <row r="418" spans="2:3" ht="14" customHeight="1" x14ac:dyDescent="0.15">
      <c r="B418" s="72"/>
      <c r="C418" s="48"/>
    </row>
    <row r="419" spans="2:3" ht="14" customHeight="1" x14ac:dyDescent="0.15">
      <c r="B419" s="72"/>
      <c r="C419" s="48"/>
    </row>
    <row r="420" spans="2:3" ht="14" customHeight="1" x14ac:dyDescent="0.15">
      <c r="B420" s="72"/>
      <c r="C420" s="48"/>
    </row>
    <row r="421" spans="2:3" ht="14" customHeight="1" x14ac:dyDescent="0.15">
      <c r="B421" s="72"/>
      <c r="C421" s="48"/>
    </row>
    <row r="422" spans="2:3" ht="14" customHeight="1" x14ac:dyDescent="0.15">
      <c r="B422" s="72"/>
      <c r="C422" s="48"/>
    </row>
    <row r="423" spans="2:3" ht="14" customHeight="1" x14ac:dyDescent="0.15">
      <c r="B423" s="72"/>
      <c r="C423" s="48"/>
    </row>
    <row r="424" spans="2:3" ht="14" customHeight="1" x14ac:dyDescent="0.15">
      <c r="B424" s="72"/>
      <c r="C424" s="48"/>
    </row>
    <row r="425" spans="2:3" ht="14" customHeight="1" x14ac:dyDescent="0.15">
      <c r="B425" s="72"/>
      <c r="C425" s="48"/>
    </row>
    <row r="426" spans="2:3" ht="14" customHeight="1" x14ac:dyDescent="0.15">
      <c r="B426" s="72"/>
      <c r="C426" s="48"/>
    </row>
    <row r="427" spans="2:3" ht="14" customHeight="1" x14ac:dyDescent="0.15">
      <c r="B427" s="72"/>
      <c r="C427" s="48"/>
    </row>
    <row r="428" spans="2:3" ht="14" customHeight="1" x14ac:dyDescent="0.15">
      <c r="B428" s="72"/>
      <c r="C428" s="48"/>
    </row>
    <row r="429" spans="2:3" ht="14" customHeight="1" x14ac:dyDescent="0.15">
      <c r="B429" s="72"/>
      <c r="C429" s="48"/>
    </row>
    <row r="430" spans="2:3" ht="14" customHeight="1" x14ac:dyDescent="0.15">
      <c r="B430" s="72"/>
      <c r="C430" s="48"/>
    </row>
    <row r="431" spans="2:3" ht="14" customHeight="1" x14ac:dyDescent="0.15">
      <c r="B431" s="72"/>
      <c r="C431" s="48"/>
    </row>
    <row r="432" spans="2:3" ht="14" customHeight="1" x14ac:dyDescent="0.15">
      <c r="B432" s="72"/>
      <c r="C432" s="48"/>
    </row>
    <row r="433" spans="2:3" ht="14" customHeight="1" x14ac:dyDescent="0.15">
      <c r="B433" s="72"/>
      <c r="C433" s="48"/>
    </row>
    <row r="434" spans="2:3" ht="14" customHeight="1" x14ac:dyDescent="0.15">
      <c r="B434" s="72"/>
      <c r="C434" s="48"/>
    </row>
    <row r="435" spans="2:3" ht="14" customHeight="1" x14ac:dyDescent="0.15">
      <c r="B435" s="72"/>
      <c r="C435" s="48"/>
    </row>
    <row r="436" spans="2:3" ht="14" customHeight="1" x14ac:dyDescent="0.15">
      <c r="B436" s="72"/>
      <c r="C436" s="48"/>
    </row>
    <row r="437" spans="2:3" ht="14" customHeight="1" x14ac:dyDescent="0.15">
      <c r="B437" s="72"/>
      <c r="C437" s="48"/>
    </row>
    <row r="438" spans="2:3" ht="14" customHeight="1" x14ac:dyDescent="0.15">
      <c r="B438" s="72"/>
      <c r="C438" s="48"/>
    </row>
    <row r="439" spans="2:3" ht="14" customHeight="1" x14ac:dyDescent="0.15">
      <c r="B439" s="72"/>
      <c r="C439" s="48"/>
    </row>
    <row r="440" spans="2:3" ht="14" customHeight="1" x14ac:dyDescent="0.15">
      <c r="B440" s="72"/>
      <c r="C440" s="48"/>
    </row>
    <row r="441" spans="2:3" ht="14" customHeight="1" x14ac:dyDescent="0.15">
      <c r="B441" s="72"/>
      <c r="C441" s="48"/>
    </row>
    <row r="442" spans="2:3" ht="14" customHeight="1" x14ac:dyDescent="0.15">
      <c r="B442" s="72"/>
      <c r="C442" s="48"/>
    </row>
    <row r="443" spans="2:3" ht="14" customHeight="1" x14ac:dyDescent="0.15">
      <c r="B443" s="72"/>
      <c r="C443" s="48"/>
    </row>
    <row r="444" spans="2:3" ht="14" customHeight="1" x14ac:dyDescent="0.15">
      <c r="B444" s="72"/>
      <c r="C444" s="48"/>
    </row>
    <row r="445" spans="2:3" ht="14" customHeight="1" x14ac:dyDescent="0.15">
      <c r="B445" s="72"/>
      <c r="C445" s="48"/>
    </row>
    <row r="446" spans="2:3" ht="14" customHeight="1" x14ac:dyDescent="0.15">
      <c r="B446" s="72"/>
      <c r="C446" s="48"/>
    </row>
    <row r="447" spans="2:3" ht="14" customHeight="1" x14ac:dyDescent="0.15">
      <c r="B447" s="72"/>
      <c r="C447" s="48"/>
    </row>
    <row r="448" spans="2:3" ht="14" customHeight="1" x14ac:dyDescent="0.15">
      <c r="B448" s="72"/>
      <c r="C448" s="48"/>
    </row>
    <row r="449" spans="2:3" ht="14" customHeight="1" x14ac:dyDescent="0.15">
      <c r="B449" s="72"/>
      <c r="C449" s="48"/>
    </row>
    <row r="450" spans="2:3" ht="14" customHeight="1" x14ac:dyDescent="0.15">
      <c r="B450" s="72"/>
      <c r="C450" s="48"/>
    </row>
    <row r="451" spans="2:3" ht="14" customHeight="1" x14ac:dyDescent="0.15">
      <c r="B451" s="72"/>
      <c r="C451" s="48"/>
    </row>
    <row r="452" spans="2:3" ht="14" customHeight="1" x14ac:dyDescent="0.15">
      <c r="B452" s="72"/>
      <c r="C452" s="48"/>
    </row>
    <row r="453" spans="2:3" ht="14" customHeight="1" x14ac:dyDescent="0.15">
      <c r="B453" s="72"/>
      <c r="C453" s="48"/>
    </row>
    <row r="454" spans="2:3" ht="14" customHeight="1" x14ac:dyDescent="0.15">
      <c r="B454" s="72"/>
      <c r="C454" s="48"/>
    </row>
    <row r="455" spans="2:3" ht="14" customHeight="1" x14ac:dyDescent="0.15">
      <c r="B455" s="72"/>
      <c r="C455" s="48"/>
    </row>
    <row r="456" spans="2:3" ht="14" customHeight="1" x14ac:dyDescent="0.15">
      <c r="B456" s="72"/>
      <c r="C456" s="48"/>
    </row>
    <row r="457" spans="2:3" ht="14" customHeight="1" x14ac:dyDescent="0.15">
      <c r="B457" s="72"/>
      <c r="C457" s="48"/>
    </row>
    <row r="458" spans="2:3" ht="14" customHeight="1" x14ac:dyDescent="0.15">
      <c r="B458" s="72"/>
      <c r="C458" s="48"/>
    </row>
    <row r="459" spans="2:3" ht="14" customHeight="1" x14ac:dyDescent="0.15">
      <c r="B459" s="72"/>
      <c r="C459" s="48"/>
    </row>
    <row r="460" spans="2:3" ht="14" customHeight="1" x14ac:dyDescent="0.15">
      <c r="B460" s="72"/>
      <c r="C460" s="48"/>
    </row>
    <row r="461" spans="2:3" ht="14" customHeight="1" x14ac:dyDescent="0.15">
      <c r="B461" s="72"/>
      <c r="C461" s="48"/>
    </row>
    <row r="462" spans="2:3" ht="14" customHeight="1" x14ac:dyDescent="0.15">
      <c r="B462" s="72"/>
      <c r="C462" s="48"/>
    </row>
    <row r="463" spans="2:3" ht="14" customHeight="1" x14ac:dyDescent="0.15">
      <c r="B463" s="72"/>
      <c r="C463" s="48"/>
    </row>
    <row r="464" spans="2:3" ht="14" customHeight="1" x14ac:dyDescent="0.15">
      <c r="B464" s="72"/>
      <c r="C464" s="48"/>
    </row>
    <row r="465" spans="2:3" ht="14" customHeight="1" x14ac:dyDescent="0.15">
      <c r="B465" s="72"/>
      <c r="C465" s="48"/>
    </row>
    <row r="466" spans="2:3" ht="14" customHeight="1" x14ac:dyDescent="0.15">
      <c r="B466" s="72"/>
      <c r="C466" s="48"/>
    </row>
    <row r="467" spans="2:3" ht="14" customHeight="1" x14ac:dyDescent="0.15">
      <c r="B467" s="72"/>
      <c r="C467" s="48"/>
    </row>
    <row r="468" spans="2:3" ht="14" customHeight="1" x14ac:dyDescent="0.15">
      <c r="B468" s="72"/>
      <c r="C468" s="48"/>
    </row>
    <row r="469" spans="2:3" ht="14" customHeight="1" x14ac:dyDescent="0.15">
      <c r="B469" s="72"/>
      <c r="C469" s="48"/>
    </row>
    <row r="470" spans="2:3" ht="14" customHeight="1" x14ac:dyDescent="0.15">
      <c r="B470" s="72"/>
      <c r="C470" s="48"/>
    </row>
    <row r="471" spans="2:3" ht="14" customHeight="1" x14ac:dyDescent="0.15">
      <c r="B471" s="72"/>
      <c r="C471" s="48"/>
    </row>
    <row r="472" spans="2:3" ht="14" customHeight="1" x14ac:dyDescent="0.15">
      <c r="B472" s="72"/>
      <c r="C472" s="48"/>
    </row>
    <row r="473" spans="2:3" ht="14" customHeight="1" x14ac:dyDescent="0.15">
      <c r="B473" s="72"/>
      <c r="C473" s="48"/>
    </row>
    <row r="474" spans="2:3" ht="14" customHeight="1" x14ac:dyDescent="0.15">
      <c r="B474" s="72"/>
      <c r="C474" s="48"/>
    </row>
    <row r="475" spans="2:3" ht="14" customHeight="1" x14ac:dyDescent="0.15">
      <c r="B475" s="72"/>
      <c r="C475" s="48"/>
    </row>
    <row r="476" spans="2:3" ht="14" customHeight="1" x14ac:dyDescent="0.15">
      <c r="B476" s="72"/>
      <c r="C476" s="48"/>
    </row>
    <row r="477" spans="2:3" ht="14" customHeight="1" x14ac:dyDescent="0.15">
      <c r="B477" s="72"/>
      <c r="C477" s="48"/>
    </row>
    <row r="478" spans="2:3" ht="14" customHeight="1" x14ac:dyDescent="0.15">
      <c r="B478" s="72"/>
      <c r="C478" s="48"/>
    </row>
    <row r="479" spans="2:3" ht="14" customHeight="1" x14ac:dyDescent="0.15">
      <c r="B479" s="72"/>
      <c r="C479" s="48"/>
    </row>
    <row r="480" spans="2:3" ht="14" customHeight="1" x14ac:dyDescent="0.15">
      <c r="B480" s="72"/>
      <c r="C480" s="48"/>
    </row>
    <row r="481" spans="2:3" ht="14" customHeight="1" x14ac:dyDescent="0.15">
      <c r="B481" s="72"/>
      <c r="C481" s="48"/>
    </row>
    <row r="482" spans="2:3" ht="14" customHeight="1" x14ac:dyDescent="0.15">
      <c r="B482" s="72"/>
      <c r="C482" s="48"/>
    </row>
    <row r="483" spans="2:3" ht="14" customHeight="1" x14ac:dyDescent="0.15">
      <c r="B483" s="72"/>
      <c r="C483" s="48"/>
    </row>
    <row r="484" spans="2:3" ht="14" customHeight="1" x14ac:dyDescent="0.15">
      <c r="B484" s="72"/>
      <c r="C484" s="48"/>
    </row>
    <row r="485" spans="2:3" ht="14" customHeight="1" x14ac:dyDescent="0.15">
      <c r="B485" s="72"/>
      <c r="C485" s="48"/>
    </row>
    <row r="486" spans="2:3" ht="14" customHeight="1" x14ac:dyDescent="0.15">
      <c r="B486" s="72"/>
      <c r="C486" s="48"/>
    </row>
    <row r="487" spans="2:3" ht="14" customHeight="1" x14ac:dyDescent="0.15">
      <c r="B487" s="72"/>
      <c r="C487" s="48"/>
    </row>
    <row r="488" spans="2:3" ht="14" customHeight="1" x14ac:dyDescent="0.15">
      <c r="B488" s="72"/>
      <c r="C488" s="48"/>
    </row>
    <row r="489" spans="2:3" ht="14" customHeight="1" x14ac:dyDescent="0.15">
      <c r="B489" s="72"/>
      <c r="C489" s="48"/>
    </row>
    <row r="490" spans="2:3" ht="14" customHeight="1" x14ac:dyDescent="0.15">
      <c r="B490" s="72"/>
      <c r="C490" s="48"/>
    </row>
    <row r="491" spans="2:3" ht="14" customHeight="1" x14ac:dyDescent="0.15">
      <c r="B491" s="72"/>
      <c r="C491" s="48"/>
    </row>
    <row r="492" spans="2:3" ht="14" customHeight="1" x14ac:dyDescent="0.15">
      <c r="B492" s="72"/>
      <c r="C492" s="48"/>
    </row>
    <row r="493" spans="2:3" ht="14" customHeight="1" x14ac:dyDescent="0.15">
      <c r="B493" s="72"/>
      <c r="C493" s="48"/>
    </row>
    <row r="494" spans="2:3" ht="14" customHeight="1" x14ac:dyDescent="0.15">
      <c r="B494" s="72"/>
      <c r="C494" s="48"/>
    </row>
    <row r="495" spans="2:3" ht="14" customHeight="1" x14ac:dyDescent="0.15">
      <c r="B495" s="72"/>
      <c r="C495" s="48"/>
    </row>
    <row r="496" spans="2:3" ht="14" customHeight="1" x14ac:dyDescent="0.15">
      <c r="B496" s="72"/>
      <c r="C496" s="48"/>
    </row>
    <row r="497" spans="2:3" ht="14" customHeight="1" x14ac:dyDescent="0.15">
      <c r="B497" s="72"/>
      <c r="C497" s="48"/>
    </row>
    <row r="498" spans="2:3" ht="14" customHeight="1" x14ac:dyDescent="0.15">
      <c r="B498" s="72"/>
      <c r="C498" s="48"/>
    </row>
    <row r="499" spans="2:3" ht="14" customHeight="1" x14ac:dyDescent="0.15">
      <c r="B499" s="72"/>
      <c r="C499" s="48"/>
    </row>
    <row r="500" spans="2:3" ht="14" customHeight="1" x14ac:dyDescent="0.15">
      <c r="B500" s="72"/>
      <c r="C500" s="48"/>
    </row>
    <row r="501" spans="2:3" ht="14" customHeight="1" x14ac:dyDescent="0.15">
      <c r="B501" s="72"/>
      <c r="C501" s="48"/>
    </row>
    <row r="502" spans="2:3" ht="14" customHeight="1" x14ac:dyDescent="0.15">
      <c r="B502" s="72"/>
      <c r="C502" s="48"/>
    </row>
    <row r="503" spans="2:3" ht="14" customHeight="1" x14ac:dyDescent="0.15">
      <c r="B503" s="72"/>
      <c r="C503" s="48"/>
    </row>
    <row r="504" spans="2:3" ht="14" customHeight="1" x14ac:dyDescent="0.15">
      <c r="B504" s="72"/>
      <c r="C504" s="48"/>
    </row>
    <row r="505" spans="2:3" ht="14" customHeight="1" x14ac:dyDescent="0.15">
      <c r="B505" s="72"/>
      <c r="C505" s="48"/>
    </row>
    <row r="506" spans="2:3" ht="14" customHeight="1" x14ac:dyDescent="0.15">
      <c r="B506" s="72"/>
      <c r="C506" s="48"/>
    </row>
    <row r="507" spans="2:3" ht="14" customHeight="1" x14ac:dyDescent="0.15">
      <c r="B507" s="72"/>
      <c r="C507" s="48"/>
    </row>
    <row r="508" spans="2:3" ht="14" customHeight="1" x14ac:dyDescent="0.15">
      <c r="B508" s="72"/>
      <c r="C508" s="48"/>
    </row>
    <row r="509" spans="2:3" ht="14" customHeight="1" x14ac:dyDescent="0.15">
      <c r="B509" s="72"/>
      <c r="C509" s="48"/>
    </row>
    <row r="510" spans="2:3" ht="14" customHeight="1" x14ac:dyDescent="0.15">
      <c r="B510" s="72"/>
      <c r="C510" s="48"/>
    </row>
    <row r="511" spans="2:3" ht="14" customHeight="1" x14ac:dyDescent="0.15">
      <c r="B511" s="72"/>
      <c r="C511" s="48"/>
    </row>
    <row r="512" spans="2:3" ht="14" customHeight="1" x14ac:dyDescent="0.15">
      <c r="B512" s="72"/>
      <c r="C512" s="48"/>
    </row>
    <row r="513" spans="2:3" ht="14" customHeight="1" x14ac:dyDescent="0.15">
      <c r="B513" s="72"/>
      <c r="C513" s="48"/>
    </row>
    <row r="514" spans="2:3" ht="14" customHeight="1" x14ac:dyDescent="0.15">
      <c r="B514" s="72"/>
      <c r="C514" s="48"/>
    </row>
    <row r="515" spans="2:3" ht="14" customHeight="1" x14ac:dyDescent="0.15">
      <c r="B515" s="72"/>
      <c r="C515" s="48"/>
    </row>
    <row r="516" spans="2:3" ht="14" customHeight="1" x14ac:dyDescent="0.15">
      <c r="B516" s="72"/>
      <c r="C516" s="48"/>
    </row>
    <row r="517" spans="2:3" ht="14" customHeight="1" x14ac:dyDescent="0.15">
      <c r="B517" s="72"/>
      <c r="C517" s="48"/>
    </row>
    <row r="518" spans="2:3" ht="14" customHeight="1" x14ac:dyDescent="0.15">
      <c r="B518" s="72"/>
      <c r="C518" s="48"/>
    </row>
    <row r="519" spans="2:3" ht="14" customHeight="1" x14ac:dyDescent="0.15">
      <c r="B519" s="72"/>
      <c r="C519" s="48"/>
    </row>
    <row r="520" spans="2:3" ht="14" customHeight="1" x14ac:dyDescent="0.15">
      <c r="B520" s="72"/>
      <c r="C520" s="48"/>
    </row>
    <row r="521" spans="2:3" ht="14" customHeight="1" x14ac:dyDescent="0.15">
      <c r="B521" s="72"/>
      <c r="C521" s="48"/>
    </row>
    <row r="522" spans="2:3" ht="14" customHeight="1" x14ac:dyDescent="0.15">
      <c r="B522" s="72"/>
      <c r="C522" s="48"/>
    </row>
    <row r="523" spans="2:3" ht="14" customHeight="1" x14ac:dyDescent="0.15">
      <c r="B523" s="72"/>
      <c r="C523" s="48"/>
    </row>
    <row r="524" spans="2:3" ht="14" customHeight="1" x14ac:dyDescent="0.15">
      <c r="B524" s="72"/>
      <c r="C524" s="48"/>
    </row>
    <row r="525" spans="2:3" ht="14" customHeight="1" x14ac:dyDescent="0.15">
      <c r="B525" s="72"/>
      <c r="C525" s="48"/>
    </row>
    <row r="526" spans="2:3" ht="14" customHeight="1" x14ac:dyDescent="0.15">
      <c r="B526" s="72"/>
      <c r="C526" s="48"/>
    </row>
    <row r="527" spans="2:3" ht="14" customHeight="1" x14ac:dyDescent="0.15">
      <c r="B527" s="72"/>
      <c r="C527" s="48"/>
    </row>
    <row r="528" spans="2:3" ht="14" customHeight="1" x14ac:dyDescent="0.15">
      <c r="B528" s="72"/>
      <c r="C528" s="48"/>
    </row>
    <row r="529" spans="2:3" ht="14" customHeight="1" x14ac:dyDescent="0.15">
      <c r="B529" s="72"/>
      <c r="C529" s="48"/>
    </row>
    <row r="530" spans="2:3" ht="14" customHeight="1" x14ac:dyDescent="0.15">
      <c r="B530" s="72"/>
      <c r="C530" s="48"/>
    </row>
    <row r="531" spans="2:3" ht="14" customHeight="1" x14ac:dyDescent="0.15">
      <c r="B531" s="72"/>
      <c r="C531" s="48"/>
    </row>
    <row r="532" spans="2:3" ht="14" customHeight="1" x14ac:dyDescent="0.15">
      <c r="B532" s="72"/>
      <c r="C532" s="48"/>
    </row>
    <row r="533" spans="2:3" ht="14" customHeight="1" x14ac:dyDescent="0.15">
      <c r="B533" s="72"/>
      <c r="C533" s="48"/>
    </row>
    <row r="534" spans="2:3" ht="14" customHeight="1" x14ac:dyDescent="0.15">
      <c r="B534" s="72"/>
      <c r="C534" s="48"/>
    </row>
    <row r="535" spans="2:3" ht="14" customHeight="1" x14ac:dyDescent="0.15">
      <c r="B535" s="72"/>
      <c r="C535" s="48"/>
    </row>
    <row r="536" spans="2:3" ht="14" customHeight="1" x14ac:dyDescent="0.15">
      <c r="B536" s="72"/>
      <c r="C536" s="48"/>
    </row>
    <row r="537" spans="2:3" ht="14" customHeight="1" x14ac:dyDescent="0.15">
      <c r="B537" s="72"/>
      <c r="C537" s="48"/>
    </row>
    <row r="538" spans="2:3" ht="14" customHeight="1" x14ac:dyDescent="0.15">
      <c r="B538" s="72"/>
      <c r="C538" s="48"/>
    </row>
    <row r="539" spans="2:3" ht="14" customHeight="1" x14ac:dyDescent="0.15">
      <c r="B539" s="72"/>
      <c r="C539" s="48"/>
    </row>
    <row r="540" spans="2:3" ht="14" customHeight="1" x14ac:dyDescent="0.15">
      <c r="B540" s="72"/>
      <c r="C540" s="48"/>
    </row>
    <row r="541" spans="2:3" ht="14" customHeight="1" x14ac:dyDescent="0.15">
      <c r="B541" s="72"/>
      <c r="C541" s="48"/>
    </row>
    <row r="542" spans="2:3" ht="14" customHeight="1" x14ac:dyDescent="0.15">
      <c r="B542" s="72"/>
      <c r="C542" s="48"/>
    </row>
    <row r="543" spans="2:3" ht="14" customHeight="1" x14ac:dyDescent="0.15">
      <c r="B543" s="72"/>
      <c r="C543" s="48"/>
    </row>
    <row r="544" spans="2:3" ht="14" customHeight="1" x14ac:dyDescent="0.15">
      <c r="B544" s="72"/>
      <c r="C544" s="48"/>
    </row>
    <row r="545" spans="2:3" ht="14" customHeight="1" x14ac:dyDescent="0.15">
      <c r="B545" s="72"/>
      <c r="C545" s="48"/>
    </row>
    <row r="546" spans="2:3" ht="14" customHeight="1" x14ac:dyDescent="0.15">
      <c r="B546" s="72"/>
      <c r="C546" s="48"/>
    </row>
    <row r="547" spans="2:3" ht="14" customHeight="1" x14ac:dyDescent="0.15">
      <c r="B547" s="72"/>
      <c r="C547" s="48"/>
    </row>
    <row r="548" spans="2:3" ht="14" customHeight="1" x14ac:dyDescent="0.15">
      <c r="B548" s="72"/>
      <c r="C548" s="48"/>
    </row>
    <row r="549" spans="2:3" ht="14" customHeight="1" x14ac:dyDescent="0.15">
      <c r="B549" s="72"/>
      <c r="C549" s="48"/>
    </row>
    <row r="550" spans="2:3" ht="14" customHeight="1" x14ac:dyDescent="0.15">
      <c r="B550" s="72"/>
      <c r="C550" s="48"/>
    </row>
    <row r="551" spans="2:3" ht="14" customHeight="1" x14ac:dyDescent="0.15">
      <c r="B551" s="72"/>
      <c r="C551" s="48"/>
    </row>
    <row r="552" spans="2:3" ht="14" customHeight="1" x14ac:dyDescent="0.15">
      <c r="B552" s="72"/>
      <c r="C552" s="48"/>
    </row>
    <row r="553" spans="2:3" ht="14" customHeight="1" x14ac:dyDescent="0.15">
      <c r="B553" s="72"/>
      <c r="C553" s="48"/>
    </row>
    <row r="554" spans="2:3" ht="14" customHeight="1" x14ac:dyDescent="0.15">
      <c r="B554" s="72"/>
      <c r="C554" s="48"/>
    </row>
    <row r="555" spans="2:3" ht="14" customHeight="1" x14ac:dyDescent="0.15">
      <c r="B555" s="72"/>
      <c r="C555" s="48"/>
    </row>
    <row r="556" spans="2:3" ht="14" customHeight="1" x14ac:dyDescent="0.15">
      <c r="B556" s="72"/>
      <c r="C556" s="48"/>
    </row>
    <row r="557" spans="2:3" ht="14" customHeight="1" x14ac:dyDescent="0.15">
      <c r="B557" s="72"/>
      <c r="C557" s="48"/>
    </row>
    <row r="558" spans="2:3" ht="14" customHeight="1" x14ac:dyDescent="0.15">
      <c r="B558" s="72"/>
      <c r="C558" s="48"/>
    </row>
    <row r="559" spans="2:3" ht="14" customHeight="1" x14ac:dyDescent="0.15">
      <c r="B559" s="72"/>
      <c r="C559" s="48"/>
    </row>
    <row r="560" spans="2:3" ht="14" customHeight="1" x14ac:dyDescent="0.15">
      <c r="B560" s="72"/>
      <c r="C560" s="48"/>
    </row>
    <row r="561" spans="2:3" ht="14" customHeight="1" x14ac:dyDescent="0.15">
      <c r="B561" s="72"/>
      <c r="C561" s="48"/>
    </row>
    <row r="562" spans="2:3" ht="14" customHeight="1" x14ac:dyDescent="0.15">
      <c r="B562" s="72"/>
      <c r="C562" s="48"/>
    </row>
    <row r="563" spans="2:3" ht="14" customHeight="1" x14ac:dyDescent="0.15">
      <c r="B563" s="72"/>
      <c r="C563" s="48"/>
    </row>
    <row r="564" spans="2:3" ht="14" customHeight="1" x14ac:dyDescent="0.15">
      <c r="B564" s="72"/>
      <c r="C564" s="48"/>
    </row>
    <row r="565" spans="2:3" ht="14" customHeight="1" x14ac:dyDescent="0.15">
      <c r="B565" s="72"/>
      <c r="C565" s="48"/>
    </row>
    <row r="566" spans="2:3" ht="14" customHeight="1" x14ac:dyDescent="0.15">
      <c r="B566" s="72"/>
      <c r="C566" s="48"/>
    </row>
    <row r="567" spans="2:3" ht="14" customHeight="1" x14ac:dyDescent="0.15">
      <c r="B567" s="72"/>
      <c r="C567" s="48"/>
    </row>
    <row r="568" spans="2:3" ht="14" customHeight="1" x14ac:dyDescent="0.15">
      <c r="B568" s="72"/>
      <c r="C568" s="48"/>
    </row>
    <row r="569" spans="2:3" ht="14" customHeight="1" x14ac:dyDescent="0.15">
      <c r="B569" s="72"/>
      <c r="C569" s="48"/>
    </row>
    <row r="570" spans="2:3" ht="14" customHeight="1" x14ac:dyDescent="0.15">
      <c r="B570" s="72"/>
      <c r="C570" s="48"/>
    </row>
    <row r="571" spans="2:3" ht="14" customHeight="1" x14ac:dyDescent="0.15">
      <c r="B571" s="72"/>
      <c r="C571" s="48"/>
    </row>
    <row r="572" spans="2:3" ht="14" customHeight="1" x14ac:dyDescent="0.15">
      <c r="B572" s="72"/>
      <c r="C572" s="48"/>
    </row>
    <row r="573" spans="2:3" ht="14" customHeight="1" x14ac:dyDescent="0.15">
      <c r="B573" s="72"/>
      <c r="C573" s="48"/>
    </row>
    <row r="574" spans="2:3" ht="14" customHeight="1" x14ac:dyDescent="0.15">
      <c r="B574" s="72"/>
      <c r="C574" s="48"/>
    </row>
    <row r="575" spans="2:3" ht="14" customHeight="1" x14ac:dyDescent="0.15">
      <c r="B575" s="72"/>
      <c r="C575" s="48"/>
    </row>
    <row r="576" spans="2:3" ht="14" customHeight="1" x14ac:dyDescent="0.15">
      <c r="B576" s="72"/>
      <c r="C576" s="48"/>
    </row>
    <row r="577" spans="2:3" ht="14" customHeight="1" x14ac:dyDescent="0.15">
      <c r="B577" s="72"/>
      <c r="C577" s="48"/>
    </row>
    <row r="578" spans="2:3" ht="14" customHeight="1" x14ac:dyDescent="0.15">
      <c r="B578" s="72"/>
      <c r="C578" s="48"/>
    </row>
    <row r="579" spans="2:3" ht="14" customHeight="1" x14ac:dyDescent="0.15">
      <c r="B579" s="72"/>
      <c r="C579" s="48"/>
    </row>
    <row r="580" spans="2:3" ht="14" customHeight="1" x14ac:dyDescent="0.15">
      <c r="B580" s="72"/>
      <c r="C580" s="48"/>
    </row>
    <row r="581" spans="2:3" ht="14" customHeight="1" x14ac:dyDescent="0.15">
      <c r="B581" s="72"/>
      <c r="C581" s="48"/>
    </row>
    <row r="582" spans="2:3" ht="14" customHeight="1" x14ac:dyDescent="0.15">
      <c r="B582" s="72"/>
      <c r="C582" s="48"/>
    </row>
    <row r="583" spans="2:3" ht="14" customHeight="1" x14ac:dyDescent="0.15">
      <c r="B583" s="72"/>
      <c r="C583" s="48"/>
    </row>
    <row r="584" spans="2:3" ht="14" customHeight="1" x14ac:dyDescent="0.15">
      <c r="B584" s="72"/>
      <c r="C584" s="48"/>
    </row>
    <row r="585" spans="2:3" ht="14" customHeight="1" x14ac:dyDescent="0.15">
      <c r="B585" s="72"/>
      <c r="C585" s="48"/>
    </row>
    <row r="586" spans="2:3" ht="14" customHeight="1" x14ac:dyDescent="0.15">
      <c r="B586" s="72"/>
      <c r="C586" s="48"/>
    </row>
    <row r="587" spans="2:3" ht="14" customHeight="1" x14ac:dyDescent="0.15">
      <c r="B587" s="72"/>
      <c r="C587" s="48"/>
    </row>
    <row r="588" spans="2:3" ht="14" customHeight="1" x14ac:dyDescent="0.15">
      <c r="B588" s="72"/>
      <c r="C588" s="48"/>
    </row>
    <row r="589" spans="2:3" ht="14" customHeight="1" x14ac:dyDescent="0.15">
      <c r="B589" s="72"/>
      <c r="C589" s="48"/>
    </row>
    <row r="590" spans="2:3" ht="14" customHeight="1" x14ac:dyDescent="0.15">
      <c r="B590" s="72"/>
      <c r="C590" s="48"/>
    </row>
    <row r="591" spans="2:3" ht="14" customHeight="1" x14ac:dyDescent="0.15">
      <c r="B591" s="72"/>
      <c r="C591" s="48"/>
    </row>
    <row r="592" spans="2:3" ht="14" customHeight="1" x14ac:dyDescent="0.15">
      <c r="B592" s="72"/>
      <c r="C592" s="48"/>
    </row>
    <row r="593" spans="2:3" ht="14" customHeight="1" x14ac:dyDescent="0.15">
      <c r="B593" s="72"/>
      <c r="C593" s="48"/>
    </row>
    <row r="594" spans="2:3" ht="14" customHeight="1" x14ac:dyDescent="0.15">
      <c r="B594" s="72"/>
      <c r="C594" s="48"/>
    </row>
    <row r="595" spans="2:3" ht="14" customHeight="1" x14ac:dyDescent="0.15">
      <c r="B595" s="72"/>
      <c r="C595" s="48"/>
    </row>
    <row r="596" spans="2:3" ht="14" customHeight="1" x14ac:dyDescent="0.15">
      <c r="B596" s="72"/>
      <c r="C596" s="48"/>
    </row>
    <row r="597" spans="2:3" ht="14" customHeight="1" x14ac:dyDescent="0.15">
      <c r="B597" s="72"/>
      <c r="C597" s="48"/>
    </row>
    <row r="598" spans="2:3" ht="14" customHeight="1" x14ac:dyDescent="0.15">
      <c r="B598" s="72"/>
      <c r="C598" s="48"/>
    </row>
    <row r="599" spans="2:3" ht="14" customHeight="1" x14ac:dyDescent="0.15">
      <c r="B599" s="72"/>
      <c r="C599" s="48"/>
    </row>
    <row r="600" spans="2:3" ht="14" customHeight="1" x14ac:dyDescent="0.15">
      <c r="B600" s="72"/>
      <c r="C600" s="48"/>
    </row>
    <row r="601" spans="2:3" ht="14" customHeight="1" x14ac:dyDescent="0.15">
      <c r="B601" s="72"/>
      <c r="C601" s="48"/>
    </row>
    <row r="602" spans="2:3" ht="14" customHeight="1" x14ac:dyDescent="0.15">
      <c r="B602" s="72"/>
      <c r="C602" s="48"/>
    </row>
    <row r="603" spans="2:3" ht="14" customHeight="1" x14ac:dyDescent="0.15">
      <c r="B603" s="72"/>
      <c r="C603" s="48"/>
    </row>
    <row r="604" spans="2:3" ht="14" customHeight="1" x14ac:dyDescent="0.15">
      <c r="B604" s="72"/>
      <c r="C604" s="48"/>
    </row>
    <row r="605" spans="2:3" ht="14" customHeight="1" x14ac:dyDescent="0.15">
      <c r="B605" s="72"/>
      <c r="C605" s="48"/>
    </row>
    <row r="606" spans="2:3" ht="14" customHeight="1" x14ac:dyDescent="0.15">
      <c r="B606" s="72"/>
      <c r="C606" s="48"/>
    </row>
    <row r="607" spans="2:3" ht="14" customHeight="1" x14ac:dyDescent="0.15">
      <c r="B607" s="72"/>
      <c r="C607" s="48"/>
    </row>
    <row r="608" spans="2:3" ht="14" customHeight="1" x14ac:dyDescent="0.15">
      <c r="B608" s="72"/>
      <c r="C608" s="48"/>
    </row>
    <row r="609" spans="2:3" ht="14" customHeight="1" x14ac:dyDescent="0.15">
      <c r="B609" s="72"/>
      <c r="C609" s="48"/>
    </row>
    <row r="610" spans="2:3" ht="14" customHeight="1" x14ac:dyDescent="0.15">
      <c r="B610" s="72"/>
      <c r="C610" s="48"/>
    </row>
    <row r="611" spans="2:3" ht="14" customHeight="1" x14ac:dyDescent="0.15">
      <c r="B611" s="72"/>
      <c r="C611" s="48"/>
    </row>
    <row r="612" spans="2:3" ht="14" customHeight="1" x14ac:dyDescent="0.15">
      <c r="B612" s="72"/>
      <c r="C612" s="48"/>
    </row>
    <row r="613" spans="2:3" ht="14" customHeight="1" x14ac:dyDescent="0.15">
      <c r="B613" s="72"/>
      <c r="C613" s="48"/>
    </row>
    <row r="614" spans="2:3" ht="14" customHeight="1" x14ac:dyDescent="0.15">
      <c r="B614" s="72"/>
      <c r="C614" s="48"/>
    </row>
    <row r="615" spans="2:3" ht="14" customHeight="1" x14ac:dyDescent="0.15">
      <c r="B615" s="72"/>
      <c r="C615" s="48"/>
    </row>
    <row r="616" spans="2:3" ht="14" customHeight="1" x14ac:dyDescent="0.15">
      <c r="B616" s="72"/>
      <c r="C616" s="48"/>
    </row>
    <row r="617" spans="2:3" ht="14" customHeight="1" x14ac:dyDescent="0.15">
      <c r="B617" s="72"/>
      <c r="C617" s="48"/>
    </row>
    <row r="618" spans="2:3" ht="14" customHeight="1" x14ac:dyDescent="0.15">
      <c r="B618" s="72"/>
      <c r="C618" s="48"/>
    </row>
    <row r="619" spans="2:3" ht="14" customHeight="1" x14ac:dyDescent="0.15">
      <c r="B619" s="72"/>
      <c r="C619" s="48"/>
    </row>
    <row r="620" spans="2:3" ht="14" customHeight="1" x14ac:dyDescent="0.15">
      <c r="B620" s="72"/>
      <c r="C620" s="48"/>
    </row>
    <row r="621" spans="2:3" ht="14" customHeight="1" x14ac:dyDescent="0.15">
      <c r="B621" s="72"/>
      <c r="C621" s="48"/>
    </row>
    <row r="622" spans="2:3" ht="14" customHeight="1" x14ac:dyDescent="0.15">
      <c r="B622" s="72"/>
      <c r="C622" s="48"/>
    </row>
    <row r="623" spans="2:3" ht="14" customHeight="1" x14ac:dyDescent="0.15">
      <c r="B623" s="72"/>
      <c r="C623" s="48"/>
    </row>
    <row r="624" spans="2:3" ht="14" customHeight="1" x14ac:dyDescent="0.15">
      <c r="B624" s="72"/>
      <c r="C624" s="48"/>
    </row>
    <row r="625" spans="2:3" ht="14" customHeight="1" x14ac:dyDescent="0.15">
      <c r="B625" s="72"/>
      <c r="C625" s="48"/>
    </row>
    <row r="626" spans="2:3" ht="14" customHeight="1" x14ac:dyDescent="0.15">
      <c r="B626" s="72"/>
      <c r="C626" s="48"/>
    </row>
    <row r="627" spans="2:3" ht="14" customHeight="1" x14ac:dyDescent="0.15">
      <c r="B627" s="72"/>
      <c r="C627" s="48"/>
    </row>
    <row r="628" spans="2:3" ht="14" customHeight="1" x14ac:dyDescent="0.15">
      <c r="B628" s="72"/>
      <c r="C628" s="48"/>
    </row>
    <row r="629" spans="2:3" ht="14" customHeight="1" x14ac:dyDescent="0.15">
      <c r="B629" s="72"/>
      <c r="C629" s="48"/>
    </row>
    <row r="630" spans="2:3" ht="14" customHeight="1" x14ac:dyDescent="0.15">
      <c r="B630" s="72"/>
      <c r="C630" s="48"/>
    </row>
    <row r="631" spans="2:3" ht="14" customHeight="1" x14ac:dyDescent="0.15">
      <c r="B631" s="72"/>
      <c r="C631" s="48"/>
    </row>
    <row r="632" spans="2:3" ht="14" customHeight="1" x14ac:dyDescent="0.15">
      <c r="B632" s="72"/>
      <c r="C632" s="48"/>
    </row>
    <row r="633" spans="2:3" ht="14" customHeight="1" x14ac:dyDescent="0.15">
      <c r="B633" s="72"/>
      <c r="C633" s="48"/>
    </row>
    <row r="634" spans="2:3" ht="14" customHeight="1" x14ac:dyDescent="0.15">
      <c r="B634" s="72"/>
      <c r="C634" s="48"/>
    </row>
    <row r="635" spans="2:3" ht="14" customHeight="1" x14ac:dyDescent="0.15">
      <c r="B635" s="72"/>
      <c r="C635" s="48"/>
    </row>
    <row r="636" spans="2:3" ht="14" customHeight="1" x14ac:dyDescent="0.15">
      <c r="B636" s="72"/>
      <c r="C636" s="48"/>
    </row>
    <row r="637" spans="2:3" ht="14" customHeight="1" x14ac:dyDescent="0.15">
      <c r="B637" s="72"/>
      <c r="C637" s="48"/>
    </row>
    <row r="638" spans="2:3" ht="14" customHeight="1" x14ac:dyDescent="0.15">
      <c r="B638" s="72"/>
      <c r="C638" s="48"/>
    </row>
    <row r="639" spans="2:3" ht="14" customHeight="1" x14ac:dyDescent="0.15">
      <c r="B639" s="72"/>
      <c r="C639" s="48"/>
    </row>
    <row r="640" spans="2:3" ht="14" customHeight="1" x14ac:dyDescent="0.15">
      <c r="B640" s="72"/>
      <c r="C640" s="48"/>
    </row>
    <row r="641" spans="2:3" ht="14" customHeight="1" x14ac:dyDescent="0.15">
      <c r="B641" s="72"/>
      <c r="C641" s="48"/>
    </row>
    <row r="642" spans="2:3" ht="14" customHeight="1" x14ac:dyDescent="0.15">
      <c r="B642" s="72"/>
      <c r="C642" s="48"/>
    </row>
    <row r="643" spans="2:3" ht="14" customHeight="1" x14ac:dyDescent="0.15">
      <c r="B643" s="72"/>
      <c r="C643" s="48"/>
    </row>
    <row r="644" spans="2:3" ht="14" customHeight="1" x14ac:dyDescent="0.15">
      <c r="B644" s="72"/>
      <c r="C644" s="48"/>
    </row>
    <row r="645" spans="2:3" ht="14" customHeight="1" x14ac:dyDescent="0.15">
      <c r="B645" s="72"/>
      <c r="C645" s="48"/>
    </row>
    <row r="646" spans="2:3" ht="14" customHeight="1" x14ac:dyDescent="0.15">
      <c r="B646" s="72"/>
      <c r="C646" s="48"/>
    </row>
    <row r="647" spans="2:3" ht="14" customHeight="1" x14ac:dyDescent="0.15">
      <c r="B647" s="72"/>
      <c r="C647" s="48"/>
    </row>
    <row r="648" spans="2:3" ht="14" customHeight="1" x14ac:dyDescent="0.15">
      <c r="B648" s="72"/>
      <c r="C648" s="48"/>
    </row>
    <row r="649" spans="2:3" ht="14" customHeight="1" x14ac:dyDescent="0.15">
      <c r="B649" s="72"/>
      <c r="C649" s="48"/>
    </row>
    <row r="650" spans="2:3" ht="14" customHeight="1" x14ac:dyDescent="0.15">
      <c r="B650" s="72"/>
      <c r="C650" s="48"/>
    </row>
    <row r="651" spans="2:3" ht="14" customHeight="1" x14ac:dyDescent="0.15">
      <c r="B651" s="72"/>
      <c r="C651" s="48"/>
    </row>
    <row r="652" spans="2:3" ht="14" customHeight="1" x14ac:dyDescent="0.15">
      <c r="B652" s="72"/>
      <c r="C652" s="48"/>
    </row>
    <row r="653" spans="2:3" ht="14" customHeight="1" x14ac:dyDescent="0.15">
      <c r="B653" s="72"/>
      <c r="C653" s="48"/>
    </row>
    <row r="654" spans="2:3" ht="14" customHeight="1" x14ac:dyDescent="0.15">
      <c r="B654" s="72"/>
      <c r="C654" s="48"/>
    </row>
    <row r="655" spans="2:3" ht="14" customHeight="1" x14ac:dyDescent="0.15">
      <c r="B655" s="72"/>
      <c r="C655" s="48"/>
    </row>
    <row r="656" spans="2:3" ht="14" customHeight="1" x14ac:dyDescent="0.15">
      <c r="B656" s="72"/>
      <c r="C656" s="48"/>
    </row>
    <row r="657" spans="2:3" ht="14" customHeight="1" x14ac:dyDescent="0.15">
      <c r="B657" s="72"/>
      <c r="C657" s="48"/>
    </row>
    <row r="658" spans="2:3" ht="14" customHeight="1" x14ac:dyDescent="0.15">
      <c r="B658" s="72"/>
      <c r="C658" s="48"/>
    </row>
    <row r="659" spans="2:3" ht="14" customHeight="1" x14ac:dyDescent="0.15">
      <c r="B659" s="72"/>
      <c r="C659" s="48"/>
    </row>
    <row r="660" spans="2:3" ht="14" customHeight="1" x14ac:dyDescent="0.15">
      <c r="B660" s="72"/>
      <c r="C660" s="48"/>
    </row>
    <row r="661" spans="2:3" ht="14" customHeight="1" x14ac:dyDescent="0.15">
      <c r="B661" s="72"/>
      <c r="C661" s="48"/>
    </row>
    <row r="662" spans="2:3" ht="14" customHeight="1" x14ac:dyDescent="0.15">
      <c r="B662" s="72"/>
      <c r="C662" s="48"/>
    </row>
    <row r="663" spans="2:3" ht="14" customHeight="1" x14ac:dyDescent="0.15">
      <c r="B663" s="72"/>
      <c r="C663" s="48"/>
    </row>
    <row r="664" spans="2:3" ht="14" customHeight="1" x14ac:dyDescent="0.15">
      <c r="B664" s="72"/>
      <c r="C664" s="48"/>
    </row>
    <row r="665" spans="2:3" ht="14" customHeight="1" x14ac:dyDescent="0.15">
      <c r="B665" s="72"/>
      <c r="C665" s="48"/>
    </row>
    <row r="666" spans="2:3" ht="14" customHeight="1" x14ac:dyDescent="0.15">
      <c r="B666" s="72"/>
      <c r="C666" s="48"/>
    </row>
    <row r="667" spans="2:3" ht="14" customHeight="1" x14ac:dyDescent="0.15">
      <c r="B667" s="72"/>
      <c r="C667" s="48"/>
    </row>
    <row r="668" spans="2:3" ht="14" customHeight="1" x14ac:dyDescent="0.15">
      <c r="B668" s="72"/>
      <c r="C668" s="48"/>
    </row>
    <row r="669" spans="2:3" ht="14" customHeight="1" x14ac:dyDescent="0.15">
      <c r="B669" s="72"/>
      <c r="C669" s="48"/>
    </row>
    <row r="670" spans="2:3" ht="14" customHeight="1" x14ac:dyDescent="0.15">
      <c r="B670" s="72"/>
      <c r="C670" s="48"/>
    </row>
    <row r="671" spans="2:3" ht="14" customHeight="1" x14ac:dyDescent="0.15">
      <c r="B671" s="72"/>
      <c r="C671" s="48"/>
    </row>
    <row r="672" spans="2:3" ht="14" customHeight="1" x14ac:dyDescent="0.15">
      <c r="B672" s="72"/>
      <c r="C672" s="48"/>
    </row>
    <row r="673" spans="2:3" ht="14" customHeight="1" x14ac:dyDescent="0.15">
      <c r="B673" s="72"/>
      <c r="C673" s="48"/>
    </row>
    <row r="674" spans="2:3" ht="14" customHeight="1" x14ac:dyDescent="0.15">
      <c r="B674" s="72"/>
      <c r="C674" s="48"/>
    </row>
    <row r="675" spans="2:3" ht="14" customHeight="1" x14ac:dyDescent="0.15">
      <c r="B675" s="72"/>
      <c r="C675" s="48"/>
    </row>
    <row r="676" spans="2:3" ht="14" customHeight="1" x14ac:dyDescent="0.15">
      <c r="B676" s="72"/>
      <c r="C676" s="48"/>
    </row>
    <row r="677" spans="2:3" ht="14" customHeight="1" x14ac:dyDescent="0.15">
      <c r="B677" s="72"/>
      <c r="C677" s="48"/>
    </row>
    <row r="678" spans="2:3" ht="14" customHeight="1" x14ac:dyDescent="0.15">
      <c r="B678" s="72"/>
      <c r="C678" s="48"/>
    </row>
    <row r="679" spans="2:3" ht="14" customHeight="1" x14ac:dyDescent="0.15">
      <c r="B679" s="72"/>
      <c r="C679" s="48"/>
    </row>
    <row r="680" spans="2:3" ht="14" customHeight="1" x14ac:dyDescent="0.15">
      <c r="B680" s="72"/>
      <c r="C680" s="48"/>
    </row>
    <row r="681" spans="2:3" ht="14" customHeight="1" x14ac:dyDescent="0.15">
      <c r="B681" s="72"/>
      <c r="C681" s="48"/>
    </row>
    <row r="682" spans="2:3" ht="14" customHeight="1" x14ac:dyDescent="0.15">
      <c r="B682" s="72"/>
      <c r="C682" s="48"/>
    </row>
    <row r="683" spans="2:3" ht="14" customHeight="1" x14ac:dyDescent="0.15">
      <c r="B683" s="72"/>
      <c r="C683" s="48"/>
    </row>
    <row r="684" spans="2:3" ht="14" customHeight="1" x14ac:dyDescent="0.15">
      <c r="B684" s="72"/>
      <c r="C684" s="48"/>
    </row>
    <row r="685" spans="2:3" ht="14" customHeight="1" x14ac:dyDescent="0.15">
      <c r="B685" s="72"/>
      <c r="C685" s="48"/>
    </row>
    <row r="686" spans="2:3" ht="14" customHeight="1" x14ac:dyDescent="0.15">
      <c r="B686" s="72"/>
      <c r="C686" s="48"/>
    </row>
    <row r="687" spans="2:3" ht="14" customHeight="1" x14ac:dyDescent="0.15">
      <c r="B687" s="72"/>
      <c r="C687" s="48"/>
    </row>
    <row r="688" spans="2:3" ht="14" customHeight="1" x14ac:dyDescent="0.15">
      <c r="B688" s="72"/>
      <c r="C688" s="48"/>
    </row>
    <row r="689" spans="2:3" ht="14" customHeight="1" x14ac:dyDescent="0.15">
      <c r="B689" s="72"/>
      <c r="C689" s="48"/>
    </row>
    <row r="690" spans="2:3" ht="14" customHeight="1" x14ac:dyDescent="0.15">
      <c r="B690" s="72"/>
      <c r="C690" s="48"/>
    </row>
    <row r="691" spans="2:3" ht="14" customHeight="1" x14ac:dyDescent="0.15">
      <c r="B691" s="72"/>
      <c r="C691" s="48"/>
    </row>
    <row r="692" spans="2:3" ht="14" customHeight="1" x14ac:dyDescent="0.15">
      <c r="B692" s="72"/>
      <c r="C692" s="48"/>
    </row>
    <row r="693" spans="2:3" ht="14" customHeight="1" x14ac:dyDescent="0.15">
      <c r="B693" s="72"/>
      <c r="C693" s="48"/>
    </row>
    <row r="694" spans="2:3" ht="14" customHeight="1" x14ac:dyDescent="0.15">
      <c r="B694" s="72"/>
      <c r="C694" s="48"/>
    </row>
    <row r="695" spans="2:3" ht="14" customHeight="1" x14ac:dyDescent="0.15">
      <c r="B695" s="72"/>
      <c r="C695" s="48"/>
    </row>
    <row r="696" spans="2:3" ht="14" customHeight="1" x14ac:dyDescent="0.15">
      <c r="B696" s="72"/>
      <c r="C696" s="48"/>
    </row>
    <row r="697" spans="2:3" ht="14" customHeight="1" x14ac:dyDescent="0.15">
      <c r="B697" s="72"/>
      <c r="C697" s="48"/>
    </row>
    <row r="698" spans="2:3" ht="14" customHeight="1" x14ac:dyDescent="0.15">
      <c r="B698" s="72"/>
      <c r="C698" s="48"/>
    </row>
    <row r="699" spans="2:3" ht="14" customHeight="1" x14ac:dyDescent="0.15">
      <c r="B699" s="72"/>
      <c r="C699" s="48"/>
    </row>
    <row r="700" spans="2:3" ht="14" customHeight="1" x14ac:dyDescent="0.15">
      <c r="B700" s="72"/>
      <c r="C700" s="48"/>
    </row>
    <row r="701" spans="2:3" ht="14" customHeight="1" x14ac:dyDescent="0.15">
      <c r="B701" s="72"/>
      <c r="C701" s="48"/>
    </row>
    <row r="702" spans="2:3" ht="14" customHeight="1" x14ac:dyDescent="0.15">
      <c r="B702" s="72"/>
      <c r="C702" s="48"/>
    </row>
    <row r="703" spans="2:3" ht="14" customHeight="1" x14ac:dyDescent="0.15">
      <c r="B703" s="72"/>
      <c r="C703" s="48"/>
    </row>
    <row r="704" spans="2:3" ht="14" customHeight="1" x14ac:dyDescent="0.15">
      <c r="B704" s="72"/>
      <c r="C704" s="48"/>
    </row>
    <row r="705" spans="2:3" ht="14" customHeight="1" x14ac:dyDescent="0.15">
      <c r="B705" s="72"/>
      <c r="C705" s="48"/>
    </row>
    <row r="706" spans="2:3" ht="14" customHeight="1" x14ac:dyDescent="0.15">
      <c r="B706" s="72"/>
      <c r="C706" s="48"/>
    </row>
    <row r="707" spans="2:3" ht="14" customHeight="1" x14ac:dyDescent="0.15">
      <c r="B707" s="72"/>
      <c r="C707" s="48"/>
    </row>
    <row r="708" spans="2:3" ht="14" customHeight="1" x14ac:dyDescent="0.15">
      <c r="B708" s="72"/>
      <c r="C708" s="48"/>
    </row>
    <row r="709" spans="2:3" ht="14" customHeight="1" x14ac:dyDescent="0.15">
      <c r="B709" s="72"/>
      <c r="C709" s="48"/>
    </row>
    <row r="710" spans="2:3" ht="14" customHeight="1" x14ac:dyDescent="0.15">
      <c r="B710" s="72"/>
      <c r="C710" s="48"/>
    </row>
    <row r="711" spans="2:3" ht="14" customHeight="1" x14ac:dyDescent="0.15">
      <c r="B711" s="72"/>
      <c r="C711" s="48"/>
    </row>
    <row r="712" spans="2:3" ht="14" customHeight="1" x14ac:dyDescent="0.15">
      <c r="B712" s="72"/>
      <c r="C712" s="48"/>
    </row>
    <row r="713" spans="2:3" ht="14" customHeight="1" x14ac:dyDescent="0.15">
      <c r="B713" s="72"/>
      <c r="C713" s="48"/>
    </row>
    <row r="714" spans="2:3" ht="14" customHeight="1" x14ac:dyDescent="0.15">
      <c r="B714" s="72"/>
      <c r="C714" s="48"/>
    </row>
    <row r="715" spans="2:3" ht="14" customHeight="1" x14ac:dyDescent="0.15">
      <c r="B715" s="72"/>
      <c r="C715" s="48"/>
    </row>
    <row r="716" spans="2:3" ht="14" customHeight="1" x14ac:dyDescent="0.15">
      <c r="B716" s="72"/>
      <c r="C716" s="48"/>
    </row>
    <row r="717" spans="2:3" ht="14" customHeight="1" x14ac:dyDescent="0.15">
      <c r="B717" s="72"/>
      <c r="C717" s="48"/>
    </row>
    <row r="718" spans="2:3" ht="14" customHeight="1" x14ac:dyDescent="0.15">
      <c r="B718" s="72"/>
      <c r="C718" s="48"/>
    </row>
    <row r="719" spans="2:3" ht="14" customHeight="1" x14ac:dyDescent="0.15">
      <c r="B719" s="72"/>
      <c r="C719" s="48"/>
    </row>
    <row r="720" spans="2:3" ht="14" customHeight="1" x14ac:dyDescent="0.15">
      <c r="B720" s="72"/>
      <c r="C720" s="48"/>
    </row>
    <row r="721" spans="2:3" ht="14" customHeight="1" x14ac:dyDescent="0.15">
      <c r="B721" s="72"/>
      <c r="C721" s="48"/>
    </row>
    <row r="722" spans="2:3" ht="14" customHeight="1" x14ac:dyDescent="0.15">
      <c r="B722" s="72"/>
      <c r="C722" s="48"/>
    </row>
    <row r="723" spans="2:3" ht="14" customHeight="1" x14ac:dyDescent="0.15">
      <c r="B723" s="72"/>
      <c r="C723" s="48"/>
    </row>
    <row r="724" spans="2:3" ht="14" customHeight="1" x14ac:dyDescent="0.15">
      <c r="B724" s="72"/>
      <c r="C724" s="48"/>
    </row>
    <row r="725" spans="2:3" ht="14" customHeight="1" x14ac:dyDescent="0.15">
      <c r="B725" s="72"/>
      <c r="C725" s="48"/>
    </row>
    <row r="726" spans="2:3" ht="14" customHeight="1" x14ac:dyDescent="0.15">
      <c r="B726" s="72"/>
      <c r="C726" s="48"/>
    </row>
    <row r="727" spans="2:3" ht="14" customHeight="1" x14ac:dyDescent="0.15">
      <c r="B727" s="72"/>
      <c r="C727" s="48"/>
    </row>
    <row r="728" spans="2:3" ht="14" customHeight="1" x14ac:dyDescent="0.15">
      <c r="B728" s="72"/>
      <c r="C728" s="48"/>
    </row>
    <row r="729" spans="2:3" ht="14" customHeight="1" x14ac:dyDescent="0.15">
      <c r="B729" s="72"/>
      <c r="C729" s="48"/>
    </row>
    <row r="730" spans="2:3" ht="14" customHeight="1" x14ac:dyDescent="0.15">
      <c r="B730" s="72"/>
      <c r="C730" s="48"/>
    </row>
    <row r="731" spans="2:3" ht="14" customHeight="1" x14ac:dyDescent="0.15">
      <c r="B731" s="72"/>
      <c r="C731" s="48"/>
    </row>
    <row r="732" spans="2:3" ht="14" customHeight="1" x14ac:dyDescent="0.15">
      <c r="B732" s="72"/>
      <c r="C732" s="48"/>
    </row>
    <row r="733" spans="2:3" ht="14" customHeight="1" x14ac:dyDescent="0.15">
      <c r="B733" s="72"/>
      <c r="C733" s="48"/>
    </row>
    <row r="734" spans="2:3" ht="14" customHeight="1" x14ac:dyDescent="0.15">
      <c r="B734" s="72"/>
      <c r="C734" s="48"/>
    </row>
    <row r="735" spans="2:3" ht="14" customHeight="1" x14ac:dyDescent="0.15">
      <c r="B735" s="72"/>
      <c r="C735" s="48"/>
    </row>
    <row r="736" spans="2:3" ht="14" customHeight="1" x14ac:dyDescent="0.15">
      <c r="B736" s="72"/>
      <c r="C736" s="48"/>
    </row>
    <row r="737" spans="2:3" ht="14" customHeight="1" x14ac:dyDescent="0.15">
      <c r="B737" s="72"/>
      <c r="C737" s="48"/>
    </row>
    <row r="738" spans="2:3" ht="14" customHeight="1" x14ac:dyDescent="0.15">
      <c r="B738" s="72"/>
      <c r="C738" s="48"/>
    </row>
    <row r="739" spans="2:3" ht="14" customHeight="1" x14ac:dyDescent="0.15">
      <c r="B739" s="72"/>
      <c r="C739" s="48"/>
    </row>
    <row r="740" spans="2:3" ht="14" customHeight="1" x14ac:dyDescent="0.15">
      <c r="B740" s="72"/>
      <c r="C740" s="48"/>
    </row>
    <row r="741" spans="2:3" ht="14" customHeight="1" x14ac:dyDescent="0.15">
      <c r="B741" s="72"/>
      <c r="C741" s="48"/>
    </row>
    <row r="742" spans="2:3" ht="14" customHeight="1" x14ac:dyDescent="0.15">
      <c r="B742" s="72"/>
      <c r="C742" s="48"/>
    </row>
    <row r="743" spans="2:3" ht="14" customHeight="1" x14ac:dyDescent="0.15">
      <c r="B743" s="72"/>
      <c r="C743" s="48"/>
    </row>
    <row r="744" spans="2:3" ht="14" customHeight="1" x14ac:dyDescent="0.15">
      <c r="B744" s="72"/>
      <c r="C744" s="48"/>
    </row>
    <row r="745" spans="2:3" ht="14" customHeight="1" x14ac:dyDescent="0.15">
      <c r="B745" s="72"/>
      <c r="C745" s="48"/>
    </row>
    <row r="746" spans="2:3" ht="14" customHeight="1" x14ac:dyDescent="0.15">
      <c r="B746" s="72"/>
      <c r="C746" s="48"/>
    </row>
    <row r="747" spans="2:3" ht="14" customHeight="1" x14ac:dyDescent="0.15">
      <c r="B747" s="72"/>
      <c r="C747" s="48"/>
    </row>
    <row r="748" spans="2:3" ht="14" customHeight="1" x14ac:dyDescent="0.15">
      <c r="B748" s="72"/>
      <c r="C748" s="48"/>
    </row>
    <row r="749" spans="2:3" ht="14" customHeight="1" x14ac:dyDescent="0.15">
      <c r="B749" s="72"/>
      <c r="C749" s="48"/>
    </row>
    <row r="750" spans="2:3" ht="14" customHeight="1" x14ac:dyDescent="0.15">
      <c r="B750" s="72"/>
      <c r="C750" s="48"/>
    </row>
    <row r="751" spans="2:3" ht="14" customHeight="1" x14ac:dyDescent="0.15">
      <c r="B751" s="72"/>
      <c r="C751" s="48"/>
    </row>
    <row r="752" spans="2:3" ht="14" customHeight="1" x14ac:dyDescent="0.15">
      <c r="B752" s="72"/>
      <c r="C752" s="48"/>
    </row>
    <row r="753" spans="2:3" ht="14" customHeight="1" x14ac:dyDescent="0.15">
      <c r="B753" s="72"/>
      <c r="C753" s="48"/>
    </row>
    <row r="754" spans="2:3" ht="14" customHeight="1" x14ac:dyDescent="0.15">
      <c r="B754" s="72"/>
      <c r="C754" s="48"/>
    </row>
    <row r="755" spans="2:3" ht="14" customHeight="1" x14ac:dyDescent="0.15">
      <c r="B755" s="72"/>
      <c r="C755" s="48"/>
    </row>
    <row r="756" spans="2:3" ht="14" customHeight="1" x14ac:dyDescent="0.15">
      <c r="B756" s="72"/>
      <c r="C756" s="48"/>
    </row>
    <row r="757" spans="2:3" ht="14" customHeight="1" x14ac:dyDescent="0.15">
      <c r="B757" s="72"/>
      <c r="C757" s="48"/>
    </row>
    <row r="758" spans="2:3" ht="14" customHeight="1" x14ac:dyDescent="0.15">
      <c r="B758" s="72"/>
      <c r="C758" s="48"/>
    </row>
    <row r="759" spans="2:3" ht="14" customHeight="1" x14ac:dyDescent="0.15">
      <c r="B759" s="72"/>
      <c r="C759" s="48"/>
    </row>
    <row r="760" spans="2:3" ht="14" customHeight="1" x14ac:dyDescent="0.15">
      <c r="B760" s="72"/>
      <c r="C760" s="48"/>
    </row>
    <row r="761" spans="2:3" ht="14" customHeight="1" x14ac:dyDescent="0.15">
      <c r="B761" s="72"/>
      <c r="C761" s="48"/>
    </row>
    <row r="762" spans="2:3" ht="14" customHeight="1" x14ac:dyDescent="0.15">
      <c r="B762" s="72"/>
      <c r="C762" s="48"/>
    </row>
    <row r="763" spans="2:3" ht="14" customHeight="1" x14ac:dyDescent="0.15">
      <c r="B763" s="72"/>
      <c r="C763" s="48"/>
    </row>
    <row r="764" spans="2:3" ht="14" customHeight="1" x14ac:dyDescent="0.15">
      <c r="B764" s="72"/>
      <c r="C764" s="48"/>
    </row>
    <row r="765" spans="2:3" ht="14" customHeight="1" x14ac:dyDescent="0.15">
      <c r="B765" s="72"/>
      <c r="C765" s="48"/>
    </row>
    <row r="766" spans="2:3" ht="14" customHeight="1" x14ac:dyDescent="0.15">
      <c r="B766" s="72"/>
      <c r="C766" s="48"/>
    </row>
    <row r="767" spans="2:3" ht="14" customHeight="1" x14ac:dyDescent="0.15">
      <c r="B767" s="72"/>
      <c r="C767" s="48"/>
    </row>
    <row r="768" spans="2:3" ht="14" customHeight="1" x14ac:dyDescent="0.15">
      <c r="B768" s="72"/>
      <c r="C768" s="48"/>
    </row>
    <row r="769" spans="2:3" ht="14" customHeight="1" x14ac:dyDescent="0.15">
      <c r="B769" s="72"/>
      <c r="C769" s="48"/>
    </row>
    <row r="770" spans="2:3" ht="14" customHeight="1" x14ac:dyDescent="0.15">
      <c r="B770" s="72"/>
      <c r="C770" s="48"/>
    </row>
    <row r="771" spans="2:3" ht="14" customHeight="1" x14ac:dyDescent="0.15">
      <c r="B771" s="72"/>
      <c r="C771" s="48"/>
    </row>
    <row r="772" spans="2:3" ht="14" customHeight="1" x14ac:dyDescent="0.15">
      <c r="B772" s="72"/>
      <c r="C772" s="48"/>
    </row>
    <row r="773" spans="2:3" ht="14" customHeight="1" x14ac:dyDescent="0.15">
      <c r="B773" s="72"/>
      <c r="C773" s="48"/>
    </row>
    <row r="774" spans="2:3" ht="14" customHeight="1" x14ac:dyDescent="0.15">
      <c r="B774" s="72"/>
      <c r="C774" s="48"/>
    </row>
    <row r="775" spans="2:3" ht="14" customHeight="1" x14ac:dyDescent="0.15">
      <c r="B775" s="72"/>
      <c r="C775" s="48"/>
    </row>
    <row r="776" spans="2:3" ht="14" customHeight="1" x14ac:dyDescent="0.15">
      <c r="B776" s="72"/>
      <c r="C776" s="48"/>
    </row>
    <row r="777" spans="2:3" ht="14" customHeight="1" x14ac:dyDescent="0.15">
      <c r="B777" s="72"/>
      <c r="C777" s="48"/>
    </row>
    <row r="778" spans="2:3" ht="14" customHeight="1" x14ac:dyDescent="0.15">
      <c r="B778" s="72"/>
      <c r="C778" s="48"/>
    </row>
    <row r="779" spans="2:3" ht="14" customHeight="1" x14ac:dyDescent="0.15">
      <c r="B779" s="72"/>
      <c r="C779" s="48"/>
    </row>
    <row r="780" spans="2:3" ht="14" customHeight="1" x14ac:dyDescent="0.15">
      <c r="B780" s="72"/>
      <c r="C780" s="48"/>
    </row>
    <row r="781" spans="2:3" ht="14" customHeight="1" x14ac:dyDescent="0.15">
      <c r="B781" s="72"/>
      <c r="C781" s="48"/>
    </row>
    <row r="782" spans="2:3" ht="14" customHeight="1" x14ac:dyDescent="0.15">
      <c r="B782" s="72"/>
      <c r="C782" s="48"/>
    </row>
    <row r="783" spans="2:3" ht="14" customHeight="1" x14ac:dyDescent="0.15">
      <c r="B783" s="72"/>
      <c r="C783" s="48"/>
    </row>
    <row r="784" spans="2:3" ht="14" customHeight="1" x14ac:dyDescent="0.15">
      <c r="B784" s="72"/>
      <c r="C784" s="48"/>
    </row>
    <row r="785" spans="2:3" ht="14" customHeight="1" x14ac:dyDescent="0.15">
      <c r="B785" s="72"/>
      <c r="C785" s="48"/>
    </row>
    <row r="786" spans="2:3" ht="14" customHeight="1" x14ac:dyDescent="0.15">
      <c r="B786" s="72"/>
      <c r="C786" s="48"/>
    </row>
    <row r="787" spans="2:3" ht="14" customHeight="1" x14ac:dyDescent="0.15">
      <c r="B787" s="72"/>
      <c r="C787" s="48"/>
    </row>
    <row r="788" spans="2:3" ht="14" customHeight="1" x14ac:dyDescent="0.15">
      <c r="B788" s="72"/>
      <c r="C788" s="48"/>
    </row>
    <row r="789" spans="2:3" ht="14" customHeight="1" x14ac:dyDescent="0.15">
      <c r="B789" s="72"/>
      <c r="C789" s="48"/>
    </row>
    <row r="790" spans="2:3" ht="14" customHeight="1" x14ac:dyDescent="0.15">
      <c r="B790" s="72"/>
      <c r="C790" s="48"/>
    </row>
    <row r="791" spans="2:3" ht="14" customHeight="1" x14ac:dyDescent="0.15">
      <c r="B791" s="72"/>
      <c r="C791" s="48"/>
    </row>
    <row r="792" spans="2:3" ht="14" customHeight="1" x14ac:dyDescent="0.15">
      <c r="B792" s="72"/>
      <c r="C792" s="48"/>
    </row>
    <row r="793" spans="2:3" ht="14" customHeight="1" x14ac:dyDescent="0.15">
      <c r="B793" s="72"/>
      <c r="C793" s="48"/>
    </row>
    <row r="794" spans="2:3" ht="14" customHeight="1" x14ac:dyDescent="0.15">
      <c r="B794" s="72"/>
      <c r="C794" s="48"/>
    </row>
    <row r="795" spans="2:3" ht="14" customHeight="1" x14ac:dyDescent="0.15">
      <c r="B795" s="72"/>
      <c r="C795" s="48"/>
    </row>
    <row r="796" spans="2:3" ht="14" customHeight="1" x14ac:dyDescent="0.15">
      <c r="B796" s="72"/>
      <c r="C796" s="48"/>
    </row>
    <row r="797" spans="2:3" ht="14" customHeight="1" x14ac:dyDescent="0.15">
      <c r="B797" s="72"/>
      <c r="C797" s="48"/>
    </row>
    <row r="798" spans="2:3" ht="14" customHeight="1" x14ac:dyDescent="0.15">
      <c r="B798" s="72"/>
      <c r="C798" s="48"/>
    </row>
    <row r="799" spans="2:3" ht="14" customHeight="1" x14ac:dyDescent="0.15">
      <c r="B799" s="72"/>
      <c r="C799" s="48"/>
    </row>
    <row r="800" spans="2:3" ht="14" customHeight="1" x14ac:dyDescent="0.15">
      <c r="B800" s="72"/>
      <c r="C800" s="48"/>
    </row>
    <row r="801" spans="2:3" ht="14" customHeight="1" x14ac:dyDescent="0.15">
      <c r="B801" s="72"/>
      <c r="C801" s="48"/>
    </row>
    <row r="802" spans="2:3" ht="14" customHeight="1" x14ac:dyDescent="0.15">
      <c r="B802" s="72"/>
      <c r="C802" s="48"/>
    </row>
    <row r="803" spans="2:3" ht="14" customHeight="1" x14ac:dyDescent="0.15">
      <c r="B803" s="72"/>
      <c r="C803" s="48"/>
    </row>
    <row r="804" spans="2:3" ht="14" customHeight="1" x14ac:dyDescent="0.15">
      <c r="B804" s="72"/>
      <c r="C804" s="48"/>
    </row>
    <row r="805" spans="2:3" ht="14" customHeight="1" x14ac:dyDescent="0.15">
      <c r="B805" s="72"/>
      <c r="C805" s="48"/>
    </row>
    <row r="806" spans="2:3" ht="14" customHeight="1" x14ac:dyDescent="0.15">
      <c r="B806" s="72"/>
      <c r="C806" s="48"/>
    </row>
    <row r="807" spans="2:3" ht="14" customHeight="1" x14ac:dyDescent="0.15">
      <c r="B807" s="72"/>
      <c r="C807" s="48"/>
    </row>
    <row r="808" spans="2:3" ht="14" customHeight="1" x14ac:dyDescent="0.15">
      <c r="B808" s="72"/>
      <c r="C808" s="48"/>
    </row>
    <row r="809" spans="2:3" ht="14" customHeight="1" x14ac:dyDescent="0.15">
      <c r="B809" s="72"/>
      <c r="C809" s="48"/>
    </row>
    <row r="810" spans="2:3" ht="14" customHeight="1" x14ac:dyDescent="0.15">
      <c r="B810" s="72"/>
      <c r="C810" s="48"/>
    </row>
    <row r="811" spans="2:3" ht="14" customHeight="1" x14ac:dyDescent="0.15">
      <c r="B811" s="72"/>
      <c r="C811" s="48"/>
    </row>
    <row r="812" spans="2:3" ht="14" customHeight="1" x14ac:dyDescent="0.15">
      <c r="B812" s="72"/>
      <c r="C812" s="48"/>
    </row>
    <row r="813" spans="2:3" ht="14" customHeight="1" x14ac:dyDescent="0.15">
      <c r="B813" s="72"/>
      <c r="C813" s="48"/>
    </row>
    <row r="814" spans="2:3" ht="14" customHeight="1" x14ac:dyDescent="0.15">
      <c r="B814" s="72"/>
      <c r="C814" s="48"/>
    </row>
    <row r="815" spans="2:3" ht="14" customHeight="1" x14ac:dyDescent="0.15">
      <c r="B815" s="72"/>
      <c r="C815" s="48"/>
    </row>
    <row r="816" spans="2:3" ht="14" customHeight="1" x14ac:dyDescent="0.15">
      <c r="B816" s="72"/>
      <c r="C816" s="48"/>
    </row>
    <row r="817" spans="2:3" ht="14" customHeight="1" x14ac:dyDescent="0.15">
      <c r="B817" s="72"/>
      <c r="C817" s="48"/>
    </row>
    <row r="818" spans="2:3" ht="14" customHeight="1" x14ac:dyDescent="0.15">
      <c r="B818" s="72"/>
      <c r="C818" s="48"/>
    </row>
    <row r="819" spans="2:3" ht="14" customHeight="1" x14ac:dyDescent="0.15">
      <c r="B819" s="72"/>
      <c r="C819" s="48"/>
    </row>
    <row r="820" spans="2:3" ht="14" customHeight="1" x14ac:dyDescent="0.15">
      <c r="B820" s="72"/>
      <c r="C820" s="48"/>
    </row>
    <row r="821" spans="2:3" ht="14" customHeight="1" x14ac:dyDescent="0.15">
      <c r="B821" s="72"/>
      <c r="C821" s="48"/>
    </row>
    <row r="822" spans="2:3" ht="14" customHeight="1" x14ac:dyDescent="0.15">
      <c r="B822" s="72"/>
      <c r="C822" s="48"/>
    </row>
    <row r="823" spans="2:3" ht="14" customHeight="1" x14ac:dyDescent="0.15">
      <c r="B823" s="72"/>
      <c r="C823" s="48"/>
    </row>
    <row r="824" spans="2:3" ht="14" customHeight="1" x14ac:dyDescent="0.15">
      <c r="B824" s="72"/>
      <c r="C824" s="48"/>
    </row>
    <row r="825" spans="2:3" ht="14" customHeight="1" x14ac:dyDescent="0.15">
      <c r="B825" s="72"/>
      <c r="C825" s="48"/>
    </row>
    <row r="826" spans="2:3" ht="14" customHeight="1" x14ac:dyDescent="0.15">
      <c r="B826" s="72"/>
      <c r="C826" s="48"/>
    </row>
    <row r="827" spans="2:3" ht="14" customHeight="1" x14ac:dyDescent="0.15">
      <c r="B827" s="72"/>
      <c r="C827" s="48"/>
    </row>
    <row r="828" spans="2:3" ht="14" customHeight="1" x14ac:dyDescent="0.15">
      <c r="B828" s="72"/>
      <c r="C828" s="48"/>
    </row>
    <row r="829" spans="2:3" ht="14" customHeight="1" x14ac:dyDescent="0.15">
      <c r="B829" s="72"/>
      <c r="C829" s="48"/>
    </row>
    <row r="830" spans="2:3" ht="14" customHeight="1" x14ac:dyDescent="0.15">
      <c r="B830" s="72"/>
      <c r="C830" s="48"/>
    </row>
    <row r="831" spans="2:3" ht="14" customHeight="1" x14ac:dyDescent="0.15">
      <c r="B831" s="72"/>
      <c r="C831" s="48"/>
    </row>
    <row r="832" spans="2:3" ht="14" customHeight="1" x14ac:dyDescent="0.15">
      <c r="B832" s="72"/>
      <c r="C832" s="48"/>
    </row>
    <row r="833" spans="2:3" ht="14" customHeight="1" x14ac:dyDescent="0.15">
      <c r="B833" s="72"/>
      <c r="C833" s="48"/>
    </row>
    <row r="834" spans="2:3" ht="14" customHeight="1" x14ac:dyDescent="0.15">
      <c r="B834" s="72"/>
      <c r="C834" s="48"/>
    </row>
    <row r="835" spans="2:3" ht="14" customHeight="1" x14ac:dyDescent="0.15">
      <c r="B835" s="72"/>
      <c r="C835" s="48"/>
    </row>
    <row r="836" spans="2:3" ht="14" customHeight="1" x14ac:dyDescent="0.15">
      <c r="B836" s="72"/>
      <c r="C836" s="48"/>
    </row>
    <row r="837" spans="2:3" ht="14" customHeight="1" x14ac:dyDescent="0.15">
      <c r="B837" s="72"/>
      <c r="C837" s="48"/>
    </row>
    <row r="838" spans="2:3" ht="14" customHeight="1" x14ac:dyDescent="0.15">
      <c r="B838" s="72"/>
      <c r="C838" s="48"/>
    </row>
    <row r="839" spans="2:3" ht="14" customHeight="1" x14ac:dyDescent="0.15">
      <c r="B839" s="72"/>
      <c r="C839" s="48"/>
    </row>
    <row r="840" spans="2:3" ht="14" customHeight="1" x14ac:dyDescent="0.15">
      <c r="B840" s="72"/>
      <c r="C840" s="48"/>
    </row>
    <row r="841" spans="2:3" ht="14" customHeight="1" x14ac:dyDescent="0.15">
      <c r="B841" s="72"/>
      <c r="C841" s="48"/>
    </row>
    <row r="842" spans="2:3" ht="14" customHeight="1" x14ac:dyDescent="0.15">
      <c r="B842" s="72"/>
      <c r="C842" s="48"/>
    </row>
    <row r="843" spans="2:3" ht="14" customHeight="1" x14ac:dyDescent="0.15">
      <c r="B843" s="72"/>
      <c r="C843" s="48"/>
    </row>
    <row r="844" spans="2:3" ht="14" customHeight="1" x14ac:dyDescent="0.15">
      <c r="B844" s="72"/>
      <c r="C844" s="48"/>
    </row>
    <row r="845" spans="2:3" ht="14" customHeight="1" x14ac:dyDescent="0.15">
      <c r="B845" s="72"/>
      <c r="C845" s="48"/>
    </row>
    <row r="846" spans="2:3" ht="14" customHeight="1" x14ac:dyDescent="0.15">
      <c r="B846" s="72"/>
      <c r="C846" s="48"/>
    </row>
    <row r="847" spans="2:3" ht="14" customHeight="1" x14ac:dyDescent="0.15">
      <c r="B847" s="72"/>
      <c r="C847" s="48"/>
    </row>
    <row r="848" spans="2:3" ht="14" customHeight="1" x14ac:dyDescent="0.15">
      <c r="B848" s="72"/>
      <c r="C848" s="48"/>
    </row>
    <row r="849" spans="2:3" ht="14" customHeight="1" x14ac:dyDescent="0.15">
      <c r="B849" s="72"/>
      <c r="C849" s="48"/>
    </row>
    <row r="850" spans="2:3" ht="14" customHeight="1" x14ac:dyDescent="0.15">
      <c r="B850" s="72"/>
      <c r="C850" s="48"/>
    </row>
    <row r="851" spans="2:3" ht="14" customHeight="1" x14ac:dyDescent="0.15">
      <c r="B851" s="72"/>
      <c r="C851" s="48"/>
    </row>
    <row r="852" spans="2:3" ht="14" customHeight="1" x14ac:dyDescent="0.15">
      <c r="B852" s="72"/>
      <c r="C852" s="48"/>
    </row>
    <row r="853" spans="2:3" ht="14" customHeight="1" x14ac:dyDescent="0.15">
      <c r="B853" s="72"/>
      <c r="C853" s="48"/>
    </row>
    <row r="854" spans="2:3" ht="14" customHeight="1" x14ac:dyDescent="0.15">
      <c r="B854" s="72"/>
      <c r="C854" s="48"/>
    </row>
    <row r="855" spans="2:3" ht="14" customHeight="1" x14ac:dyDescent="0.15">
      <c r="B855" s="72"/>
      <c r="C855" s="48"/>
    </row>
    <row r="856" spans="2:3" ht="14" customHeight="1" x14ac:dyDescent="0.15">
      <c r="B856" s="72"/>
      <c r="C856" s="48"/>
    </row>
    <row r="857" spans="2:3" ht="14" customHeight="1" x14ac:dyDescent="0.15">
      <c r="B857" s="72"/>
      <c r="C857" s="48"/>
    </row>
    <row r="858" spans="2:3" ht="14" customHeight="1" x14ac:dyDescent="0.15">
      <c r="B858" s="72"/>
      <c r="C858" s="48"/>
    </row>
    <row r="859" spans="2:3" ht="14" customHeight="1" x14ac:dyDescent="0.15">
      <c r="B859" s="72"/>
      <c r="C859" s="48"/>
    </row>
    <row r="860" spans="2:3" ht="14" customHeight="1" x14ac:dyDescent="0.15">
      <c r="B860" s="72"/>
      <c r="C860" s="48"/>
    </row>
    <row r="861" spans="2:3" ht="14" customHeight="1" x14ac:dyDescent="0.15">
      <c r="B861" s="72"/>
      <c r="C861" s="48"/>
    </row>
    <row r="862" spans="2:3" ht="14" customHeight="1" x14ac:dyDescent="0.15">
      <c r="B862" s="72"/>
      <c r="C862" s="48"/>
    </row>
    <row r="863" spans="2:3" ht="14" customHeight="1" x14ac:dyDescent="0.15">
      <c r="B863" s="72"/>
      <c r="C863" s="48"/>
    </row>
    <row r="864" spans="2:3" ht="14" customHeight="1" x14ac:dyDescent="0.15">
      <c r="B864" s="72"/>
      <c r="C864" s="48"/>
    </row>
    <row r="865" spans="2:3" ht="14" customHeight="1" x14ac:dyDescent="0.15">
      <c r="B865" s="72"/>
      <c r="C865" s="48"/>
    </row>
    <row r="866" spans="2:3" ht="14" customHeight="1" x14ac:dyDescent="0.15">
      <c r="B866" s="72"/>
      <c r="C866" s="48"/>
    </row>
    <row r="867" spans="2:3" ht="14" customHeight="1" x14ac:dyDescent="0.15">
      <c r="B867" s="72"/>
      <c r="C867" s="48"/>
    </row>
    <row r="868" spans="2:3" ht="14" customHeight="1" x14ac:dyDescent="0.15">
      <c r="B868" s="72"/>
      <c r="C868" s="48"/>
    </row>
    <row r="869" spans="2:3" ht="14" customHeight="1" x14ac:dyDescent="0.15">
      <c r="B869" s="72"/>
      <c r="C869" s="48"/>
    </row>
    <row r="870" spans="2:3" ht="14" customHeight="1" x14ac:dyDescent="0.15">
      <c r="B870" s="72"/>
      <c r="C870" s="48"/>
    </row>
    <row r="871" spans="2:3" ht="14" customHeight="1" x14ac:dyDescent="0.15">
      <c r="B871" s="72"/>
      <c r="C871" s="48"/>
    </row>
    <row r="872" spans="2:3" ht="14" customHeight="1" x14ac:dyDescent="0.15">
      <c r="B872" s="72"/>
      <c r="C872" s="48"/>
    </row>
    <row r="873" spans="2:3" ht="14" customHeight="1" x14ac:dyDescent="0.15">
      <c r="B873" s="72"/>
      <c r="C873" s="48"/>
    </row>
    <row r="874" spans="2:3" ht="14" customHeight="1" x14ac:dyDescent="0.15">
      <c r="B874" s="72"/>
      <c r="C874" s="48"/>
    </row>
    <row r="875" spans="2:3" ht="14" customHeight="1" x14ac:dyDescent="0.15">
      <c r="B875" s="72"/>
      <c r="C875" s="48"/>
    </row>
    <row r="876" spans="2:3" ht="14" customHeight="1" x14ac:dyDescent="0.15">
      <c r="B876" s="72"/>
      <c r="C876" s="48"/>
    </row>
    <row r="877" spans="2:3" ht="14" customHeight="1" x14ac:dyDescent="0.15">
      <c r="B877" s="72"/>
      <c r="C877" s="48"/>
    </row>
    <row r="878" spans="2:3" ht="14" customHeight="1" x14ac:dyDescent="0.15">
      <c r="B878" s="72"/>
      <c r="C878" s="48"/>
    </row>
    <row r="879" spans="2:3" ht="14" customHeight="1" x14ac:dyDescent="0.15">
      <c r="B879" s="72"/>
      <c r="C879" s="48"/>
    </row>
    <row r="880" spans="2:3" ht="14" customHeight="1" x14ac:dyDescent="0.15">
      <c r="B880" s="72"/>
      <c r="C880" s="48"/>
    </row>
    <row r="881" spans="2:3" ht="14" customHeight="1" x14ac:dyDescent="0.15">
      <c r="B881" s="72"/>
      <c r="C881" s="48"/>
    </row>
    <row r="882" spans="2:3" ht="14" customHeight="1" x14ac:dyDescent="0.15">
      <c r="B882" s="72"/>
      <c r="C882" s="48"/>
    </row>
    <row r="883" spans="2:3" ht="14" customHeight="1" x14ac:dyDescent="0.15">
      <c r="B883" s="72"/>
      <c r="C883" s="48"/>
    </row>
    <row r="884" spans="2:3" ht="14" customHeight="1" x14ac:dyDescent="0.15">
      <c r="B884" s="72"/>
      <c r="C884" s="48"/>
    </row>
    <row r="885" spans="2:3" ht="14" customHeight="1" x14ac:dyDescent="0.15">
      <c r="B885" s="72"/>
      <c r="C885" s="48"/>
    </row>
    <row r="886" spans="2:3" ht="14" customHeight="1" x14ac:dyDescent="0.15">
      <c r="B886" s="72"/>
      <c r="C886" s="48"/>
    </row>
    <row r="887" spans="2:3" ht="14" customHeight="1" x14ac:dyDescent="0.15">
      <c r="B887" s="72"/>
      <c r="C887" s="48"/>
    </row>
    <row r="888" spans="2:3" ht="14" customHeight="1" x14ac:dyDescent="0.15">
      <c r="B888" s="72"/>
      <c r="C888" s="48"/>
    </row>
    <row r="889" spans="2:3" ht="14" customHeight="1" x14ac:dyDescent="0.15">
      <c r="B889" s="72"/>
      <c r="C889" s="48"/>
    </row>
    <row r="890" spans="2:3" ht="14" customHeight="1" x14ac:dyDescent="0.15">
      <c r="B890" s="72"/>
      <c r="C890" s="48"/>
    </row>
    <row r="891" spans="2:3" ht="14" customHeight="1" x14ac:dyDescent="0.15">
      <c r="B891" s="72"/>
      <c r="C891" s="48"/>
    </row>
    <row r="892" spans="2:3" ht="14" customHeight="1" x14ac:dyDescent="0.15">
      <c r="B892" s="72"/>
      <c r="C892" s="48"/>
    </row>
    <row r="893" spans="2:3" ht="14" customHeight="1" x14ac:dyDescent="0.15">
      <c r="B893" s="72"/>
      <c r="C893" s="48"/>
    </row>
    <row r="894" spans="2:3" ht="14" customHeight="1" x14ac:dyDescent="0.15">
      <c r="B894" s="72"/>
      <c r="C894" s="48"/>
    </row>
    <row r="895" spans="2:3" ht="14" customHeight="1" x14ac:dyDescent="0.15">
      <c r="B895" s="72"/>
      <c r="C895" s="48"/>
    </row>
    <row r="896" spans="2:3" ht="14" customHeight="1" x14ac:dyDescent="0.15">
      <c r="B896" s="72"/>
      <c r="C896" s="48"/>
    </row>
    <row r="897" spans="2:3" ht="14" customHeight="1" x14ac:dyDescent="0.15">
      <c r="B897" s="72"/>
      <c r="C897" s="48"/>
    </row>
    <row r="898" spans="2:3" ht="14" customHeight="1" x14ac:dyDescent="0.15">
      <c r="B898" s="72"/>
      <c r="C898" s="48"/>
    </row>
    <row r="899" spans="2:3" ht="14" customHeight="1" x14ac:dyDescent="0.15">
      <c r="B899" s="72"/>
      <c r="C899" s="48"/>
    </row>
    <row r="900" spans="2:3" ht="14" customHeight="1" x14ac:dyDescent="0.15">
      <c r="B900" s="72"/>
      <c r="C900" s="48"/>
    </row>
    <row r="901" spans="2:3" ht="14" customHeight="1" x14ac:dyDescent="0.15">
      <c r="B901" s="72"/>
      <c r="C901" s="48"/>
    </row>
    <row r="902" spans="2:3" ht="14" customHeight="1" x14ac:dyDescent="0.15">
      <c r="B902" s="72"/>
      <c r="C902" s="48"/>
    </row>
    <row r="903" spans="2:3" ht="14" customHeight="1" x14ac:dyDescent="0.15">
      <c r="B903" s="72"/>
      <c r="C903" s="48"/>
    </row>
    <row r="904" spans="2:3" ht="14" customHeight="1" x14ac:dyDescent="0.15">
      <c r="B904" s="72"/>
      <c r="C904" s="48"/>
    </row>
    <row r="905" spans="2:3" ht="14" customHeight="1" x14ac:dyDescent="0.15">
      <c r="B905" s="72"/>
      <c r="C905" s="48"/>
    </row>
    <row r="906" spans="2:3" ht="14" customHeight="1" x14ac:dyDescent="0.15">
      <c r="B906" s="72"/>
      <c r="C906" s="48"/>
    </row>
    <row r="907" spans="2:3" ht="14" customHeight="1" x14ac:dyDescent="0.15">
      <c r="B907" s="72"/>
      <c r="C907" s="48"/>
    </row>
    <row r="908" spans="2:3" ht="14" customHeight="1" x14ac:dyDescent="0.15">
      <c r="B908" s="72"/>
      <c r="C908" s="48"/>
    </row>
    <row r="909" spans="2:3" ht="14" customHeight="1" x14ac:dyDescent="0.15">
      <c r="B909" s="72"/>
      <c r="C909" s="48"/>
    </row>
    <row r="910" spans="2:3" ht="14" customHeight="1" x14ac:dyDescent="0.15">
      <c r="B910" s="72"/>
      <c r="C910" s="48"/>
    </row>
    <row r="911" spans="2:3" ht="14" customHeight="1" x14ac:dyDescent="0.15">
      <c r="B911" s="72"/>
      <c r="C911" s="48"/>
    </row>
    <row r="912" spans="2:3" ht="14" customHeight="1" x14ac:dyDescent="0.15">
      <c r="B912" s="72"/>
      <c r="C912" s="48"/>
    </row>
    <row r="913" spans="2:3" ht="14" customHeight="1" x14ac:dyDescent="0.15">
      <c r="B913" s="72"/>
      <c r="C913" s="48"/>
    </row>
    <row r="914" spans="2:3" ht="14" customHeight="1" x14ac:dyDescent="0.15">
      <c r="B914" s="72"/>
      <c r="C914" s="48"/>
    </row>
    <row r="915" spans="2:3" ht="14" customHeight="1" x14ac:dyDescent="0.15">
      <c r="B915" s="72"/>
      <c r="C915" s="48"/>
    </row>
    <row r="916" spans="2:3" ht="14" customHeight="1" x14ac:dyDescent="0.15">
      <c r="B916" s="72"/>
      <c r="C916" s="48"/>
    </row>
    <row r="917" spans="2:3" ht="14" customHeight="1" x14ac:dyDescent="0.15">
      <c r="B917" s="72"/>
      <c r="C917" s="48"/>
    </row>
    <row r="918" spans="2:3" ht="14" customHeight="1" x14ac:dyDescent="0.15">
      <c r="B918" s="72"/>
      <c r="C918" s="48"/>
    </row>
    <row r="919" spans="2:3" ht="14" customHeight="1" x14ac:dyDescent="0.15">
      <c r="B919" s="72"/>
      <c r="C919" s="48"/>
    </row>
    <row r="920" spans="2:3" ht="14" customHeight="1" x14ac:dyDescent="0.15">
      <c r="B920" s="72"/>
      <c r="C920" s="48"/>
    </row>
    <row r="921" spans="2:3" ht="14" customHeight="1" x14ac:dyDescent="0.15">
      <c r="B921" s="72"/>
      <c r="C921" s="48"/>
    </row>
    <row r="922" spans="2:3" ht="14" customHeight="1" x14ac:dyDescent="0.15">
      <c r="B922" s="72"/>
      <c r="C922" s="48"/>
    </row>
    <row r="923" spans="2:3" ht="14" customHeight="1" x14ac:dyDescent="0.15">
      <c r="B923" s="72"/>
      <c r="C923" s="48"/>
    </row>
    <row r="924" spans="2:3" ht="14" customHeight="1" x14ac:dyDescent="0.15">
      <c r="B924" s="72"/>
      <c r="C924" s="48"/>
    </row>
    <row r="925" spans="2:3" ht="14" customHeight="1" x14ac:dyDescent="0.15">
      <c r="B925" s="72"/>
      <c r="C925" s="48"/>
    </row>
    <row r="926" spans="2:3" ht="14" customHeight="1" x14ac:dyDescent="0.15">
      <c r="B926" s="72"/>
      <c r="C926" s="48"/>
    </row>
    <row r="927" spans="2:3" ht="14" customHeight="1" x14ac:dyDescent="0.15">
      <c r="B927" s="72"/>
      <c r="C927" s="48"/>
    </row>
    <row r="928" spans="2:3" ht="14" customHeight="1" x14ac:dyDescent="0.15">
      <c r="B928" s="72"/>
      <c r="C928" s="48"/>
    </row>
    <row r="929" spans="2:3" ht="14" customHeight="1" x14ac:dyDescent="0.15">
      <c r="B929" s="72"/>
      <c r="C929" s="48"/>
    </row>
    <row r="930" spans="2:3" ht="14" customHeight="1" x14ac:dyDescent="0.15">
      <c r="B930" s="72"/>
      <c r="C930" s="48"/>
    </row>
    <row r="931" spans="2:3" ht="14" customHeight="1" x14ac:dyDescent="0.15">
      <c r="B931" s="72"/>
      <c r="C931" s="48"/>
    </row>
    <row r="932" spans="2:3" ht="14" customHeight="1" x14ac:dyDescent="0.15">
      <c r="B932" s="72"/>
      <c r="C932" s="48"/>
    </row>
    <row r="933" spans="2:3" ht="14" customHeight="1" x14ac:dyDescent="0.15">
      <c r="B933" s="72"/>
      <c r="C933" s="48"/>
    </row>
    <row r="934" spans="2:3" ht="14" customHeight="1" x14ac:dyDescent="0.15">
      <c r="B934" s="72"/>
      <c r="C934" s="48"/>
    </row>
    <row r="935" spans="2:3" ht="14" customHeight="1" x14ac:dyDescent="0.15">
      <c r="B935" s="72"/>
      <c r="C935" s="48"/>
    </row>
    <row r="936" spans="2:3" ht="14" customHeight="1" x14ac:dyDescent="0.15">
      <c r="B936" s="72"/>
      <c r="C936" s="48"/>
    </row>
    <row r="937" spans="2:3" ht="14" customHeight="1" x14ac:dyDescent="0.15">
      <c r="B937" s="72"/>
      <c r="C937" s="48"/>
    </row>
    <row r="938" spans="2:3" ht="14" customHeight="1" x14ac:dyDescent="0.15">
      <c r="B938" s="72"/>
      <c r="C938" s="48"/>
    </row>
    <row r="939" spans="2:3" ht="14" customHeight="1" x14ac:dyDescent="0.15">
      <c r="B939" s="72"/>
      <c r="C939" s="48"/>
    </row>
    <row r="940" spans="2:3" ht="14" customHeight="1" x14ac:dyDescent="0.15">
      <c r="B940" s="72"/>
      <c r="C940" s="48"/>
    </row>
    <row r="941" spans="2:3" ht="14" customHeight="1" x14ac:dyDescent="0.15">
      <c r="B941" s="72"/>
      <c r="C941" s="48"/>
    </row>
    <row r="942" spans="2:3" ht="14" customHeight="1" x14ac:dyDescent="0.15">
      <c r="B942" s="72"/>
      <c r="C942" s="48"/>
    </row>
    <row r="943" spans="2:3" ht="14" customHeight="1" x14ac:dyDescent="0.15">
      <c r="B943" s="72"/>
      <c r="C943" s="48"/>
    </row>
    <row r="944" spans="2:3" ht="14" customHeight="1" x14ac:dyDescent="0.15">
      <c r="B944" s="72"/>
      <c r="C944" s="48"/>
    </row>
    <row r="945" spans="2:3" ht="14" customHeight="1" x14ac:dyDescent="0.15">
      <c r="B945" s="72"/>
      <c r="C945" s="48"/>
    </row>
    <row r="946" spans="2:3" ht="14" customHeight="1" x14ac:dyDescent="0.15">
      <c r="B946" s="72"/>
      <c r="C946" s="48"/>
    </row>
    <row r="947" spans="2:3" ht="14" customHeight="1" x14ac:dyDescent="0.15">
      <c r="B947" s="72"/>
      <c r="C947" s="48"/>
    </row>
    <row r="948" spans="2:3" ht="14" customHeight="1" x14ac:dyDescent="0.15">
      <c r="B948" s="72"/>
      <c r="C948" s="48"/>
    </row>
    <row r="949" spans="2:3" ht="14" customHeight="1" x14ac:dyDescent="0.15">
      <c r="B949" s="72"/>
      <c r="C949" s="48"/>
    </row>
    <row r="950" spans="2:3" ht="14" customHeight="1" x14ac:dyDescent="0.15">
      <c r="B950" s="72"/>
      <c r="C950" s="48"/>
    </row>
    <row r="951" spans="2:3" ht="14" customHeight="1" x14ac:dyDescent="0.15">
      <c r="B951" s="72"/>
      <c r="C951" s="48"/>
    </row>
    <row r="952" spans="2:3" ht="14" customHeight="1" x14ac:dyDescent="0.15">
      <c r="B952" s="72"/>
      <c r="C952" s="48"/>
    </row>
    <row r="953" spans="2:3" ht="14" customHeight="1" x14ac:dyDescent="0.15">
      <c r="B953" s="72"/>
      <c r="C953" s="48"/>
    </row>
    <row r="954" spans="2:3" ht="14" customHeight="1" x14ac:dyDescent="0.15">
      <c r="B954" s="72"/>
      <c r="C954" s="48"/>
    </row>
    <row r="955" spans="2:3" ht="14" customHeight="1" x14ac:dyDescent="0.15">
      <c r="B955" s="72"/>
      <c r="C955" s="48"/>
    </row>
    <row r="956" spans="2:3" ht="14" customHeight="1" x14ac:dyDescent="0.15">
      <c r="B956" s="72"/>
      <c r="C956" s="48"/>
    </row>
    <row r="957" spans="2:3" ht="14" customHeight="1" x14ac:dyDescent="0.15">
      <c r="B957" s="72"/>
      <c r="C957" s="48"/>
    </row>
    <row r="958" spans="2:3" ht="14" customHeight="1" x14ac:dyDescent="0.15">
      <c r="B958" s="72"/>
      <c r="C958" s="48"/>
    </row>
    <row r="959" spans="2:3" ht="14" customHeight="1" x14ac:dyDescent="0.15">
      <c r="B959" s="72"/>
      <c r="C959" s="48"/>
    </row>
    <row r="960" spans="2:3" ht="14" customHeight="1" x14ac:dyDescent="0.15">
      <c r="B960" s="72"/>
      <c r="C960" s="48"/>
    </row>
    <row r="961" spans="2:3" ht="14" customHeight="1" x14ac:dyDescent="0.15">
      <c r="B961" s="72"/>
      <c r="C961" s="48"/>
    </row>
    <row r="962" spans="2:3" ht="14" customHeight="1" x14ac:dyDescent="0.15">
      <c r="B962" s="72"/>
      <c r="C962" s="48"/>
    </row>
    <row r="963" spans="2:3" ht="14" customHeight="1" x14ac:dyDescent="0.15">
      <c r="B963" s="72"/>
      <c r="C963" s="48"/>
    </row>
    <row r="964" spans="2:3" ht="14" customHeight="1" x14ac:dyDescent="0.15">
      <c r="B964" s="72"/>
      <c r="C964" s="48"/>
    </row>
    <row r="965" spans="2:3" ht="14" customHeight="1" x14ac:dyDescent="0.15">
      <c r="B965" s="72"/>
      <c r="C965" s="48"/>
    </row>
    <row r="966" spans="2:3" ht="14" customHeight="1" x14ac:dyDescent="0.15">
      <c r="B966" s="72"/>
      <c r="C966" s="48"/>
    </row>
    <row r="967" spans="2:3" ht="14" customHeight="1" x14ac:dyDescent="0.15">
      <c r="B967" s="72"/>
      <c r="C967" s="48"/>
    </row>
    <row r="968" spans="2:3" ht="14" customHeight="1" x14ac:dyDescent="0.15">
      <c r="B968" s="72"/>
      <c r="C968" s="48"/>
    </row>
    <row r="969" spans="2:3" ht="14" customHeight="1" x14ac:dyDescent="0.15">
      <c r="B969" s="72"/>
      <c r="C969" s="48"/>
    </row>
    <row r="970" spans="2:3" ht="14" customHeight="1" x14ac:dyDescent="0.15">
      <c r="B970" s="72"/>
      <c r="C970" s="48"/>
    </row>
    <row r="971" spans="2:3" ht="14" customHeight="1" x14ac:dyDescent="0.15">
      <c r="B971" s="72"/>
      <c r="C971" s="48"/>
    </row>
    <row r="972" spans="2:3" ht="14" customHeight="1" x14ac:dyDescent="0.15">
      <c r="B972" s="72"/>
      <c r="C972" s="48"/>
    </row>
    <row r="973" spans="2:3" ht="14" customHeight="1" x14ac:dyDescent="0.15">
      <c r="B973" s="72"/>
      <c r="C973" s="48"/>
    </row>
    <row r="974" spans="2:3" ht="14" customHeight="1" x14ac:dyDescent="0.15">
      <c r="B974" s="72"/>
      <c r="C974" s="48"/>
    </row>
    <row r="975" spans="2:3" ht="14" customHeight="1" x14ac:dyDescent="0.15">
      <c r="B975" s="72"/>
      <c r="C975" s="48"/>
    </row>
    <row r="976" spans="2:3" ht="14" customHeight="1" x14ac:dyDescent="0.15">
      <c r="B976" s="72"/>
      <c r="C976" s="48"/>
    </row>
    <row r="977" spans="2:3" ht="14" customHeight="1" x14ac:dyDescent="0.15">
      <c r="B977" s="72"/>
      <c r="C977" s="48"/>
    </row>
    <row r="978" spans="2:3" ht="14" customHeight="1" x14ac:dyDescent="0.15">
      <c r="B978" s="72"/>
      <c r="C978" s="48"/>
    </row>
    <row r="979" spans="2:3" ht="14" customHeight="1" x14ac:dyDescent="0.15">
      <c r="B979" s="72"/>
      <c r="C979" s="48"/>
    </row>
    <row r="980" spans="2:3" ht="14" customHeight="1" x14ac:dyDescent="0.15">
      <c r="B980" s="72"/>
      <c r="C980" s="48"/>
    </row>
    <row r="981" spans="2:3" ht="14" customHeight="1" x14ac:dyDescent="0.15">
      <c r="B981" s="72"/>
      <c r="C981" s="48"/>
    </row>
    <row r="982" spans="2:3" ht="14" customHeight="1" x14ac:dyDescent="0.15">
      <c r="B982" s="72"/>
      <c r="C982" s="48"/>
    </row>
    <row r="983" spans="2:3" ht="14" customHeight="1" x14ac:dyDescent="0.15">
      <c r="B983" s="72"/>
      <c r="C983" s="48"/>
    </row>
    <row r="984" spans="2:3" ht="14" customHeight="1" x14ac:dyDescent="0.15">
      <c r="B984" s="72"/>
      <c r="C984" s="48"/>
    </row>
    <row r="985" spans="2:3" ht="14" customHeight="1" x14ac:dyDescent="0.15">
      <c r="B985" s="72"/>
      <c r="C985" s="48"/>
    </row>
    <row r="986" spans="2:3" ht="14" customHeight="1" x14ac:dyDescent="0.15">
      <c r="B986" s="72"/>
      <c r="C986" s="48"/>
    </row>
    <row r="987" spans="2:3" ht="14" customHeight="1" x14ac:dyDescent="0.15">
      <c r="B987" s="72"/>
      <c r="C987" s="48"/>
    </row>
    <row r="988" spans="2:3" ht="14" customHeight="1" x14ac:dyDescent="0.15">
      <c r="B988" s="72"/>
      <c r="C988" s="48"/>
    </row>
    <row r="989" spans="2:3" ht="14" customHeight="1" x14ac:dyDescent="0.15">
      <c r="B989" s="72"/>
      <c r="C989" s="48"/>
    </row>
    <row r="990" spans="2:3" ht="14" customHeight="1" x14ac:dyDescent="0.15">
      <c r="B990" s="72"/>
      <c r="C990" s="48"/>
    </row>
    <row r="991" spans="2:3" ht="14" customHeight="1" x14ac:dyDescent="0.15">
      <c r="B991" s="72"/>
      <c r="C991" s="48"/>
    </row>
    <row r="992" spans="2:3" ht="14" customHeight="1" x14ac:dyDescent="0.15">
      <c r="B992" s="72"/>
      <c r="C992" s="48"/>
    </row>
    <row r="993" spans="2:3" ht="14" customHeight="1" x14ac:dyDescent="0.15">
      <c r="B993" s="72"/>
      <c r="C993" s="48"/>
    </row>
    <row r="994" spans="2:3" ht="14" customHeight="1" x14ac:dyDescent="0.15">
      <c r="B994" s="72"/>
      <c r="C994" s="48"/>
    </row>
    <row r="995" spans="2:3" ht="14" customHeight="1" x14ac:dyDescent="0.15">
      <c r="B995" s="72"/>
      <c r="C995" s="48"/>
    </row>
    <row r="996" spans="2:3" ht="14" customHeight="1" x14ac:dyDescent="0.15">
      <c r="B996" s="72"/>
      <c r="C996" s="48"/>
    </row>
    <row r="997" spans="2:3" ht="14" customHeight="1" x14ac:dyDescent="0.15">
      <c r="B997" s="72"/>
      <c r="C997" s="48"/>
    </row>
    <row r="998" spans="2:3" ht="14" customHeight="1" x14ac:dyDescent="0.15">
      <c r="B998" s="72"/>
      <c r="C998" s="48"/>
    </row>
    <row r="999" spans="2:3" ht="14" customHeight="1" x14ac:dyDescent="0.15">
      <c r="B999" s="72"/>
      <c r="C999" s="48"/>
    </row>
    <row r="1000" spans="2:3" ht="14" customHeight="1" x14ac:dyDescent="0.15">
      <c r="B1000" s="72"/>
      <c r="C1000" s="48"/>
    </row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850b8942-2be9-402b-9246-b972b4d713eb" xsi:nil="true"/>
    <DateandTime xmlns="850b8942-2be9-402b-9246-b972b4d713eb" xsi:nil="true"/>
    <lcf76f155ced4ddcb4097134ff3c332f xmlns="850b8942-2be9-402b-9246-b972b4d713eb">
      <Terms xmlns="http://schemas.microsoft.com/office/infopath/2007/PartnerControls"/>
    </lcf76f155ced4ddcb4097134ff3c332f>
    <TaxCatchAll xmlns="8641c311-e392-49f0-94ad-976f2c938a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BF812731E689408DB459D2BCDA9606" ma:contentTypeVersion="18" ma:contentTypeDescription="Create a new document." ma:contentTypeScope="" ma:versionID="981186d3af60c140ba60fd3b90715bae">
  <xsd:schema xmlns:xsd="http://www.w3.org/2001/XMLSchema" xmlns:xs="http://www.w3.org/2001/XMLSchema" xmlns:p="http://schemas.microsoft.com/office/2006/metadata/properties" xmlns:ns2="850b8942-2be9-402b-9246-b972b4d713eb" xmlns:ns3="8641c311-e392-49f0-94ad-976f2c938aeb" targetNamespace="http://schemas.microsoft.com/office/2006/metadata/properties" ma:root="true" ma:fieldsID="45cf86686b5131580fb2664bb9623cc5" ns2:_="" ns3:_="">
    <xsd:import namespace="850b8942-2be9-402b-9246-b972b4d713eb"/>
    <xsd:import namespace="8641c311-e392-49f0-94ad-976f2c938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DateandTime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b8942-2be9-402b-9246-b972b4d71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090b037-6668-479e-99aa-586165a7df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andTime" ma:index="24" nillable="true" ma:displayName="Date and Time" ma:format="DateOnly" ma:internalName="DateandTime">
      <xsd:simpleType>
        <xsd:restriction base="dms:DateTime"/>
      </xsd:simpleType>
    </xsd:element>
    <xsd:element name="Number" ma:index="25" nillable="true" ma:displayName="Number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1c311-e392-49f0-94ad-976f2c938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aad6fc7-79c3-4516-afd6-4f4508d61bd7}" ma:internalName="TaxCatchAll" ma:showField="CatchAllData" ma:web="8641c311-e392-49f0-94ad-976f2c938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37BB45-4542-4DB3-B448-25E35CB4DE00}">
  <ds:schemaRefs>
    <ds:schemaRef ds:uri="http://schemas.microsoft.com/office/2006/metadata/properties"/>
    <ds:schemaRef ds:uri="http://schemas.microsoft.com/office/infopath/2007/PartnerControls"/>
    <ds:schemaRef ds:uri="850b8942-2be9-402b-9246-b972b4d713eb"/>
    <ds:schemaRef ds:uri="8641c311-e392-49f0-94ad-976f2c938aeb"/>
  </ds:schemaRefs>
</ds:datastoreItem>
</file>

<file path=customXml/itemProps2.xml><?xml version="1.0" encoding="utf-8"?>
<ds:datastoreItem xmlns:ds="http://schemas.openxmlformats.org/officeDocument/2006/customXml" ds:itemID="{182D06CD-F2B7-430C-8CCB-C606919C87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E4C572-57B7-4A30-A2CD-70160287C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0b8942-2be9-402b-9246-b972b4d713eb"/>
    <ds:schemaRef ds:uri="8641c311-e392-49f0-94ad-976f2c938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 Physics 34 schedule</vt:lpstr>
      <vt:lpstr>JIM Physics 34 schedule</vt:lpstr>
      <vt:lpstr>JIM Physics12 schedule</vt:lpstr>
      <vt:lpstr>Physics 34 2026</vt:lpstr>
      <vt:lpstr>Physics 12 2026</vt:lpstr>
      <vt:lpstr>Template 34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MacArthur, Jirrah</cp:lastModifiedBy>
  <cp:revision/>
  <dcterms:created xsi:type="dcterms:W3CDTF">2025-12-15T20:10:24Z</dcterms:created>
  <dcterms:modified xsi:type="dcterms:W3CDTF">2026-02-04T01:21:23Z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0x010100D3BF812731E689408DB459D2BCDA9606</vt:lpwstr>
  </property>
  <property fmtid="{D5CDD505-2E9C-101B-9397-08002B2CF9AE}" pid="3" name="MediaServiceImageTags">
    <vt:lpwstr/>
  </property>
</Properties>
</file>