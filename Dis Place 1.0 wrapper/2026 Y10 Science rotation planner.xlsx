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kingswoodcollege.sharepoint.com/sites/Curriculum/Shared Documents/Science/Yr10/2026/"/>
    </mc:Choice>
  </mc:AlternateContent>
  <xr:revisionPtr revIDLastSave="0" documentId="8_{179CA5B4-CCD8-4DF4-8AB9-222E47FC9160}" xr6:coauthVersionLast="47" xr6:coauthVersionMax="47" xr10:uidLastSave="{00000000-0000-0000-0000-000000000000}"/>
  <bookViews>
    <workbookView minimized="1" xWindow="9690" yWindow="1080" windowWidth="9600" windowHeight="5450" firstSheet="1" activeTab="1" xr2:uid="{00000000-000D-0000-FFFF-FFFF00000000}"/>
  </bookViews>
  <sheets>
    <sheet name="Overview" sheetId="2" r:id="rId1"/>
    <sheet name="Physics lesson schedule" sheetId="3" r:id="rId2"/>
  </sheets>
  <definedNames>
    <definedName name="_xlnm.Print_Area" localSheetId="1">'Physics lesson schedule'!$B$1:$E$75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 s="1"/>
  <c r="B5" i="2" s="1"/>
  <c r="B6" i="2" s="1"/>
  <c r="B7" i="2" s="1"/>
  <c r="B8" i="2" s="1"/>
  <c r="B9" i="2" s="1"/>
  <c r="B10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3" i="2" l="1"/>
  <c r="B24" i="2" s="1"/>
  <c r="B25" i="2" s="1"/>
  <c r="B26" i="2" s="1"/>
  <c r="B27" i="2" s="1"/>
  <c r="B28" i="2" s="1"/>
  <c r="B29" i="2" s="1"/>
  <c r="B30" i="2" s="1"/>
  <c r="B31" i="2" s="1"/>
  <c r="B32" i="2" s="1"/>
  <c r="B34" i="2" s="1"/>
  <c r="B35" i="2"/>
  <c r="B36" i="2" s="1"/>
  <c r="B37" i="2" s="1"/>
  <c r="B38" i="2" s="1"/>
  <c r="B39" i="2" s="1"/>
  <c r="B40" i="2" s="1"/>
  <c r="B41" i="2" s="1"/>
  <c r="B42" i="2" s="1"/>
  <c r="B43" i="2" s="1"/>
  <c r="B4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tc={2A43CE03-E057-408D-9C86-4CDE0CEEEA3B}</author>
  </authors>
  <commentList>
    <comment ref="K2" authorId="0" shapeId="0" xr:uid="{2A43CE03-E057-408D-9C86-4CDE0CEEEA3B}">
      <text>
        <t>[Threaded comment]
Your version of Excel allows you to read this threaded comment; however, any edits to it will get removed if the file is opened in a newer version of Excel. Learn more: https://go.microsoft.com/fwlink/?linkid=870924
Comment:
    @Mahon, Dee @Murray, Erinn Slight correction here one extra period in the third rotation, and some uncertainty about Activities on Harmony Day in the second rotation.</t>
      </text>
    </comment>
  </commentList>
</comments>
</file>

<file path=xl/sharedStrings.xml><?xml version="1.0" encoding="utf-8"?>
<sst xmlns="http://schemas.openxmlformats.org/spreadsheetml/2006/main" count="401" uniqueCount="161">
  <si>
    <t>When</t>
  </si>
  <si>
    <t>Week of</t>
  </si>
  <si>
    <t>Mon</t>
  </si>
  <si>
    <t>Tue</t>
  </si>
  <si>
    <t xml:space="preserve">Wed </t>
  </si>
  <si>
    <t>Thu</t>
  </si>
  <si>
    <t>Fri</t>
  </si>
  <si>
    <t>Lessons</t>
  </si>
  <si>
    <t>A</t>
  </si>
  <si>
    <t>No classes</t>
  </si>
  <si>
    <t>P4 Only</t>
  </si>
  <si>
    <t>P2</t>
  </si>
  <si>
    <t>P6</t>
  </si>
  <si>
    <t>Semester 1</t>
  </si>
  <si>
    <t>B</t>
  </si>
  <si>
    <t>P3, P4</t>
  </si>
  <si>
    <t>P3</t>
  </si>
  <si>
    <t>P1, P2</t>
  </si>
  <si>
    <t>22, 23, 22</t>
  </si>
  <si>
    <t>Lessons per class cycle</t>
  </si>
  <si>
    <t xml:space="preserve">Swim </t>
  </si>
  <si>
    <t>Lessons exam revision</t>
  </si>
  <si>
    <t>Labour Day</t>
  </si>
  <si>
    <t>Rotation dates inclusive</t>
  </si>
  <si>
    <t>Rotation 1</t>
  </si>
  <si>
    <t>Tue Feb 3 - Wed Mar 11</t>
  </si>
  <si>
    <t>Rotation 2</t>
  </si>
  <si>
    <t xml:space="preserve">Thu Mar 12 - Tue 5 May </t>
  </si>
  <si>
    <t>Aths</t>
  </si>
  <si>
    <t>Good Friday</t>
  </si>
  <si>
    <t>Rotation 3</t>
  </si>
  <si>
    <t>Wed May 6 - Tue Jun 9</t>
  </si>
  <si>
    <t>10 SCI 1</t>
  </si>
  <si>
    <t>10 SCI 2</t>
  </si>
  <si>
    <t>10 SCI 3</t>
  </si>
  <si>
    <t>JIM for Physics</t>
  </si>
  <si>
    <t>KLA for Biology</t>
  </si>
  <si>
    <t>DMH for Chemistry</t>
  </si>
  <si>
    <t>Production week</t>
  </si>
  <si>
    <t>No Students</t>
  </si>
  <si>
    <t>Kings B'day</t>
  </si>
  <si>
    <t>P2 Exam Revision</t>
  </si>
  <si>
    <t>P6 Exam Revision</t>
  </si>
  <si>
    <t>10-11 exams</t>
  </si>
  <si>
    <t xml:space="preserve">GAT </t>
  </si>
  <si>
    <t>HPA</t>
  </si>
  <si>
    <t xml:space="preserve"> 3-0</t>
  </si>
  <si>
    <t>-</t>
  </si>
  <si>
    <t>Semester 2</t>
  </si>
  <si>
    <t>20,20,21</t>
  </si>
  <si>
    <t>Lessons revision</t>
  </si>
  <si>
    <t>P3, P4 (x-cnty)</t>
  </si>
  <si>
    <t>Science week</t>
  </si>
  <si>
    <t>Tue Jul 21 - Tue Aug 18</t>
  </si>
  <si>
    <t>Wed Aug 19 - Fri Sep 18</t>
  </si>
  <si>
    <t>Tue 6 Oct - Thu 5 Nov</t>
  </si>
  <si>
    <t>Cup Weekend</t>
  </si>
  <si>
    <t>P3, P4, exm rvn</t>
  </si>
  <si>
    <t>P2, exm rvn</t>
  </si>
  <si>
    <t>Possible yet to be scheduled</t>
  </si>
  <si>
    <t>WB Day, First Aid, Road to Zero or similar excursion</t>
  </si>
  <si>
    <t>VCE Camp</t>
  </si>
  <si>
    <t>Work experience</t>
  </si>
  <si>
    <t>Staff conference</t>
  </si>
  <si>
    <t>Date</t>
  </si>
  <si>
    <t>Physics</t>
  </si>
  <si>
    <t>Assessment and Homework</t>
  </si>
  <si>
    <t>Prac</t>
  </si>
  <si>
    <t>10SCI1</t>
  </si>
  <si>
    <t>Wed Feb 5 - Thu Mar 13</t>
  </si>
  <si>
    <t>Tue 3 Feb</t>
  </si>
  <si>
    <t>Discussion and pretest</t>
  </si>
  <si>
    <t>Pretest</t>
  </si>
  <si>
    <t>Distance, stars and deep time</t>
  </si>
  <si>
    <t>Flywire Moire effect?</t>
  </si>
  <si>
    <t>Gravity. Creative force</t>
  </si>
  <si>
    <t>#1 DSDT</t>
  </si>
  <si>
    <t>Wed 11 Feb</t>
  </si>
  <si>
    <t>Universe Fabric and marbles and 5kg weight</t>
  </si>
  <si>
    <t>Stars' brightness, colour and lifecycles</t>
  </si>
  <si>
    <t>#3 GCF</t>
  </si>
  <si>
    <t>Tue 17 Feb</t>
  </si>
  <si>
    <t>Work Lamp outide in forum, incandescent globe (12V portable)</t>
  </si>
  <si>
    <t>Bar Heater, bunsen flame and incandescent globe (12V portable)</t>
  </si>
  <si>
    <t>Spectroscopes, gas lamps, cards</t>
  </si>
  <si>
    <t>Distance and history of the universe</t>
  </si>
  <si>
    <t>#2 SBCL</t>
  </si>
  <si>
    <t>Wed 25 Feb</t>
  </si>
  <si>
    <t>Evidence for the Big Bang model</t>
  </si>
  <si>
    <t>#4 DHU</t>
  </si>
  <si>
    <t>Tue 3 Mar</t>
  </si>
  <si>
    <t>Balloons and markers</t>
  </si>
  <si>
    <t>#5 BB</t>
  </si>
  <si>
    <t>Fri 6 Mar</t>
  </si>
  <si>
    <t>Test Review</t>
  </si>
  <si>
    <t>Tue 10 March</t>
  </si>
  <si>
    <t>Test</t>
  </si>
  <si>
    <t>Wed 11 March</t>
  </si>
  <si>
    <t>Post topic reflection (Assessment)</t>
  </si>
  <si>
    <t>Reflection</t>
  </si>
  <si>
    <t>10SCI2</t>
  </si>
  <si>
    <t xml:space="preserve">Fri Mar 14 - Fri 7 May </t>
  </si>
  <si>
    <t>Fri Mar 14 P5</t>
  </si>
  <si>
    <t>Wed Mar 19 P3</t>
  </si>
  <si>
    <t>Wed Mar 19 P4</t>
  </si>
  <si>
    <t>Thu Mar 20 P1</t>
  </si>
  <si>
    <t>Fri Mar 21 P3</t>
  </si>
  <si>
    <t>Fri Mar 21 P4</t>
  </si>
  <si>
    <t>Wed Mar 26 P3</t>
  </si>
  <si>
    <t>Wed Mar 26 P4</t>
  </si>
  <si>
    <t>Thu Mar 27 P1</t>
  </si>
  <si>
    <t>Fri Mar 28 P3</t>
  </si>
  <si>
    <t>HARMONY DAY</t>
  </si>
  <si>
    <t>Wed Apr 2 P3</t>
  </si>
  <si>
    <t>Wed Apr 2 P4</t>
  </si>
  <si>
    <t>Thu Apr 3 P1</t>
  </si>
  <si>
    <t>Fri Apr 4  P3</t>
  </si>
  <si>
    <t>Fri Apr 4  P4</t>
  </si>
  <si>
    <t>Thu Apr 24 P1</t>
  </si>
  <si>
    <t>Wed Apr 30 P3</t>
  </si>
  <si>
    <t>Wed Apr 30 P4</t>
  </si>
  <si>
    <t>Thu May 1 P1</t>
  </si>
  <si>
    <t>Fri May  2 P3</t>
  </si>
  <si>
    <t>Fri May 2 P4</t>
  </si>
  <si>
    <t>Wed May 7 P3</t>
  </si>
  <si>
    <t>10SCI3</t>
  </si>
  <si>
    <t>Wed May 7 - Mon Jun 9</t>
  </si>
  <si>
    <t>Wed May 7 P4</t>
  </si>
  <si>
    <t>Discussion</t>
  </si>
  <si>
    <t>Key Points for Year 10</t>
  </si>
  <si>
    <t>Thu May 8 P1</t>
  </si>
  <si>
    <t>Fri May  9 P5</t>
  </si>
  <si>
    <r>
      <t>Exam Period:</t>
    </r>
    <r>
      <rPr>
        <sz val="10"/>
        <color rgb="FF000000"/>
        <rFont val="Arial"/>
        <scheme val="minor"/>
      </rPr>
      <t xml:space="preserve"> Friday 13 June – Friday 20 June</t>
    </r>
  </si>
  <si>
    <t>Wed May 12 P3</t>
  </si>
  <si>
    <t>Wed May 12 P4</t>
  </si>
  <si>
    <t>Thu May 13 P1</t>
  </si>
  <si>
    <t>Fri May  14 P3</t>
  </si>
  <si>
    <r>
      <t xml:space="preserve">No Year 10 classes from </t>
    </r>
    <r>
      <rPr>
        <b/>
        <sz val="10"/>
        <color rgb="FF000000"/>
        <rFont val="Arial"/>
        <scheme val="minor"/>
      </rPr>
      <t>12:10 pm</t>
    </r>
    <r>
      <rPr>
        <sz val="10"/>
        <color rgb="FF000000"/>
        <rFont val="Arial"/>
        <scheme val="minor"/>
      </rPr>
      <t xml:space="preserve"> on Friday 13 June through to Friday 20 June (inclusive).</t>
    </r>
  </si>
  <si>
    <t>Fri May 14 P4</t>
  </si>
  <si>
    <t>Wed May 21 P3</t>
  </si>
  <si>
    <t>Friday 13 June Schedule:</t>
  </si>
  <si>
    <t>Wed May 21 P4</t>
  </si>
  <si>
    <t>Thu May 22 P1</t>
  </si>
  <si>
    <t>Fri May  23 P5</t>
  </si>
  <si>
    <t>Wed May 28 P3</t>
  </si>
  <si>
    <r>
      <t>Periods 1–4:</t>
    </r>
    <r>
      <rPr>
        <sz val="10"/>
        <color rgb="FF000000"/>
        <rFont val="Arial"/>
        <scheme val="minor"/>
      </rPr>
      <t xml:space="preserve"> Normal timetable</t>
    </r>
  </si>
  <si>
    <t>Wed May 28 P4</t>
  </si>
  <si>
    <t>Thu May 29 P1</t>
  </si>
  <si>
    <r>
      <t>Afternoon:</t>
    </r>
    <r>
      <rPr>
        <sz val="10"/>
        <color rgb="FF000000"/>
        <rFont val="Arial"/>
        <scheme val="minor"/>
      </rPr>
      <t xml:space="preserve"> English/EAL exams</t>
    </r>
  </si>
  <si>
    <t>Fri May  30 P3</t>
  </si>
  <si>
    <t>Fri May 30 P4</t>
  </si>
  <si>
    <t>GAT Day (Tuesday 17 June):</t>
  </si>
  <si>
    <t>Wed Jun 4 P3</t>
  </si>
  <si>
    <t>Wed Jun 4 P4</t>
  </si>
  <si>
    <t>Thu Jun 5 P1</t>
  </si>
  <si>
    <t>Fri Jun 6 P5</t>
  </si>
  <si>
    <t>Some Year 10 exams will be held</t>
  </si>
  <si>
    <t>Wed Jun 11 P3</t>
  </si>
  <si>
    <t>Wed Jun 11 P4</t>
  </si>
  <si>
    <t>Exam considerations</t>
  </si>
  <si>
    <t>No classes for Year 12 (but Year 10 attends as scheduled)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</si>
</sst>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\-d"/>
    <numFmt numFmtId="165" formatCode="&quot; &quot;ddd&quot; &quot;d&quot; &quot;mmm"/>
  </numFmts>
  <fonts count="15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"/>
      <family val="2"/>
      <scheme val="minor"/>
    </font>
    <font>
      <sz val="8"/>
      <name val="Arial Narrow"/>
      <family val="2"/>
    </font>
    <font>
      <sz val="8"/>
      <name val="Arial"/>
      <family val="2"/>
      <scheme val="minor"/>
    </font>
    <font>
      <sz val="8"/>
      <color rgb="FF000000"/>
      <name val="Arial"/>
      <family val="2"/>
    </font>
    <font>
      <b/>
      <sz val="10"/>
      <color rgb="FF000000"/>
      <name val="Arial"/>
      <scheme val="minor"/>
    </font>
    <font>
      <sz val="10"/>
      <name val="Arial Narrow"/>
      <family val="2"/>
    </font>
    <font>
      <sz val="9"/>
      <name val="Arial Narrow"/>
      <family val="2"/>
    </font>
    <font>
      <sz val="10"/>
      <color rgb="FF000000"/>
      <name val="Arial Narrow"/>
    </font>
    <font>
      <i/>
      <sz val="10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E6B8AF"/>
        <bgColor rgb="FFE6B8A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theme="8" tint="0.59999389629810485"/>
        <bgColor rgb="FFF6B26B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4" fillId="0" borderId="0" xfId="0" applyFont="1" applyAlignment="1">
      <alignment wrapText="1"/>
    </xf>
    <xf numFmtId="14" fontId="4" fillId="0" borderId="0" xfId="0" applyNumberFormat="1" applyFont="1" applyAlignment="1">
      <alignment wrapText="1"/>
    </xf>
    <xf numFmtId="0" fontId="4" fillId="0" borderId="0" xfId="0" applyFont="1"/>
    <xf numFmtId="164" fontId="5" fillId="0" borderId="0" xfId="0" applyNumberFormat="1" applyFont="1" applyAlignment="1">
      <alignment horizontal="right" wrapText="1"/>
    </xf>
    <xf numFmtId="165" fontId="5" fillId="0" borderId="0" xfId="0" applyNumberFormat="1" applyFont="1" applyAlignment="1">
      <alignment horizontal="right" wrapText="1"/>
    </xf>
    <xf numFmtId="0" fontId="5" fillId="0" borderId="0" xfId="0" applyFont="1"/>
    <xf numFmtId="0" fontId="5" fillId="0" borderId="0" xfId="0" applyFont="1" applyAlignment="1">
      <alignment horizontal="right"/>
    </xf>
    <xf numFmtId="164" fontId="2" fillId="0" borderId="0" xfId="0" applyNumberFormat="1" applyFont="1"/>
    <xf numFmtId="165" fontId="2" fillId="0" borderId="0" xfId="0" applyNumberFormat="1" applyFont="1"/>
    <xf numFmtId="0" fontId="5" fillId="0" borderId="0" xfId="0" applyFont="1" applyAlignment="1">
      <alignment horizontal="right" wrapText="1"/>
    </xf>
    <xf numFmtId="14" fontId="2" fillId="0" borderId="0" xfId="0" applyNumberFormat="1" applyFont="1"/>
    <xf numFmtId="0" fontId="6" fillId="0" borderId="0" xfId="0" applyFont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2" fillId="8" borderId="0" xfId="0" applyFont="1" applyFill="1"/>
    <xf numFmtId="0" fontId="9" fillId="0" borderId="0" xfId="0" applyFont="1" applyAlignment="1">
      <alignment horizontal="center"/>
    </xf>
    <xf numFmtId="0" fontId="2" fillId="0" borderId="1" xfId="0" applyFont="1" applyBorder="1"/>
    <xf numFmtId="0" fontId="10" fillId="0" borderId="0" xfId="0" applyFont="1"/>
    <xf numFmtId="0" fontId="0" fillId="0" borderId="0" xfId="0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0" fillId="0" borderId="0" xfId="0" applyFont="1" applyAlignment="1">
      <alignment horizontal="left" vertical="center" indent="2"/>
    </xf>
    <xf numFmtId="0" fontId="11" fillId="7" borderId="0" xfId="0" applyFont="1" applyFill="1" applyAlignment="1">
      <alignment horizontal="center"/>
    </xf>
    <xf numFmtId="0" fontId="12" fillId="7" borderId="0" xfId="0" applyFont="1" applyFill="1" applyAlignment="1">
      <alignment horizontal="center"/>
    </xf>
    <xf numFmtId="0" fontId="13" fillId="10" borderId="0" xfId="0" applyFont="1" applyFill="1"/>
    <xf numFmtId="0" fontId="5" fillId="7" borderId="0" xfId="0" applyFont="1" applyFill="1" applyAlignment="1">
      <alignment horizontal="center"/>
    </xf>
    <xf numFmtId="0" fontId="14" fillId="0" borderId="0" xfId="0" applyFont="1"/>
    <xf numFmtId="0" fontId="14" fillId="9" borderId="0" xfId="0" applyFont="1" applyFill="1"/>
    <xf numFmtId="0" fontId="5" fillId="11" borderId="0" xfId="0" applyFont="1" applyFill="1"/>
    <xf numFmtId="0" fontId="2" fillId="12" borderId="0" xfId="0" applyFont="1" applyFill="1"/>
    <xf numFmtId="0" fontId="2" fillId="13" borderId="0" xfId="0" applyFont="1" applyFill="1"/>
    <xf numFmtId="0" fontId="2" fillId="14" borderId="0" xfId="0" applyFont="1" applyFill="1"/>
    <xf numFmtId="0" fontId="5" fillId="14" borderId="0" xfId="0" applyFont="1" applyFill="1"/>
    <xf numFmtId="0" fontId="5" fillId="15" borderId="0" xfId="0" applyFont="1" applyFill="1"/>
    <xf numFmtId="0" fontId="5" fillId="16" borderId="0" xfId="0" applyFont="1" applyFill="1"/>
    <xf numFmtId="0" fontId="5" fillId="1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hon, Dee" id="{7D655841-3821-4FA4-AA78-48B3D4E9A7DC}" userId="Mahon.D@kingswoodcollege.vic.edu.au" providerId="PeoplePicker"/>
  <person displayName="Murray, Erinn" id="{7AA731CF-C6DC-4FF6-AD6B-D0F607227AC0}" userId="Murray.E@kingswoodcollege.vic.edu.au" providerId="PeoplePicker"/>
  <person displayName="MacArthur, Jirrah" id="{FF7239B2-4813-458C-B16F-27A31A861D12}" userId="S::macarthur.j@kingswoodcollege.vic.edu.au::565e2b97-eba4-4fde-8ff3-d13c2bd4eb02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2" dT="2025-01-27T00:04:01.62" personId="{FF7239B2-4813-458C-B16F-27A31A861D12}" id="{2A43CE03-E057-408D-9C86-4CDE0CEEEA3B}">
    <text>@Mahon, Dee @Murray, Erinn Slight correction here one extra period in the third rotation, and some uncertainty about Activities on Harmony Day in the second rotation.</text>
    <mentions>
      <mention mentionpersonId="{7D655841-3821-4FA4-AA78-48B3D4E9A7DC}" mentionId="{9F4BFFB6-D984-42B9-89AA-21E50A64A3C2}" startIndex="0" length="11"/>
      <mention mentionpersonId="{7AA731CF-C6DC-4FF6-AD6B-D0F607227AC0}" mentionId="{B43CDB3F-B780-4F27-82DD-4CB49FD18D4F}" startIndex="12" length="14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50"/>
  <sheetViews>
    <sheetView workbookViewId="0">
      <selection activeCell="D22" sqref="D22"/>
    </sheetView>
  </sheetViews>
  <sheetFormatPr defaultColWidth="12.5703125" defaultRowHeight="15.75" customHeight="1"/>
  <cols>
    <col min="1" max="1" width="6.140625" customWidth="1"/>
    <col min="2" max="2" width="14.85546875" customWidth="1"/>
    <col min="3" max="3" width="1.85546875" customWidth="1"/>
    <col min="4" max="8" width="11" customWidth="1"/>
    <col min="9" max="9" width="6.42578125" customWidth="1"/>
    <col min="10" max="10" width="4.42578125" customWidth="1"/>
    <col min="11" max="11" width="15.140625" customWidth="1"/>
    <col min="12" max="12" width="17.28515625" customWidth="1"/>
    <col min="13" max="14" width="17.140625" bestFit="1" customWidth="1"/>
  </cols>
  <sheetData>
    <row r="1" spans="1:14" ht="12.75">
      <c r="A1" s="10" t="s">
        <v>0</v>
      </c>
      <c r="B1" s="11" t="s">
        <v>1</v>
      </c>
      <c r="C1" s="2"/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2"/>
      <c r="K1" s="2"/>
      <c r="L1" s="2"/>
      <c r="M1" s="2"/>
    </row>
    <row r="2" spans="1:14" ht="13.5">
      <c r="A2" s="13">
        <v>44927</v>
      </c>
      <c r="B2" s="14">
        <v>46055</v>
      </c>
      <c r="C2" s="15" t="s">
        <v>8</v>
      </c>
      <c r="D2" s="22" t="s">
        <v>9</v>
      </c>
      <c r="E2" s="32" t="s">
        <v>10</v>
      </c>
      <c r="F2" s="42" t="s">
        <v>11</v>
      </c>
      <c r="G2" s="23"/>
      <c r="H2" s="42" t="s">
        <v>12</v>
      </c>
      <c r="I2" s="16">
        <v>3</v>
      </c>
      <c r="J2" s="2"/>
      <c r="K2" s="1" t="s">
        <v>13</v>
      </c>
      <c r="L2" s="2"/>
      <c r="M2" s="2"/>
    </row>
    <row r="3" spans="1:14" ht="13.5">
      <c r="A3" s="13">
        <v>44928</v>
      </c>
      <c r="B3" s="14">
        <f t="shared" ref="B3:B10" si="0">B2+7</f>
        <v>46062</v>
      </c>
      <c r="C3" s="15" t="s">
        <v>14</v>
      </c>
      <c r="D3" s="23"/>
      <c r="E3" s="42" t="s">
        <v>15</v>
      </c>
      <c r="F3" s="42" t="s">
        <v>16</v>
      </c>
      <c r="G3" s="42" t="s">
        <v>17</v>
      </c>
      <c r="H3" s="23"/>
      <c r="I3" s="16">
        <v>3</v>
      </c>
      <c r="J3" s="2"/>
      <c r="K3" s="4">
        <v>69</v>
      </c>
      <c r="L3" s="2" t="s">
        <v>7</v>
      </c>
      <c r="M3" s="2"/>
    </row>
    <row r="4" spans="1:14" ht="13.5">
      <c r="A4" s="13">
        <v>44929</v>
      </c>
      <c r="B4" s="14">
        <f t="shared" si="0"/>
        <v>46069</v>
      </c>
      <c r="C4" s="15" t="s">
        <v>8</v>
      </c>
      <c r="D4" s="23"/>
      <c r="E4" s="42" t="s">
        <v>15</v>
      </c>
      <c r="F4" s="42" t="s">
        <v>11</v>
      </c>
      <c r="G4" s="23"/>
      <c r="H4" s="42" t="s">
        <v>12</v>
      </c>
      <c r="I4" s="16">
        <v>4</v>
      </c>
      <c r="J4" s="2"/>
      <c r="K4" s="4" t="s">
        <v>18</v>
      </c>
      <c r="L4" s="2" t="s">
        <v>19</v>
      </c>
      <c r="M4" s="2"/>
    </row>
    <row r="5" spans="1:14" ht="13.5">
      <c r="A5" s="13">
        <v>44930</v>
      </c>
      <c r="B5" s="14">
        <f t="shared" si="0"/>
        <v>46076</v>
      </c>
      <c r="C5" s="15" t="s">
        <v>14</v>
      </c>
      <c r="D5" s="23"/>
      <c r="E5" s="32" t="s">
        <v>20</v>
      </c>
      <c r="F5" s="42" t="s">
        <v>16</v>
      </c>
      <c r="G5" s="42" t="s">
        <v>17</v>
      </c>
      <c r="H5" s="23"/>
      <c r="I5" s="16">
        <v>5</v>
      </c>
      <c r="J5" s="2"/>
      <c r="K5" s="4">
        <v>2</v>
      </c>
      <c r="L5" s="2" t="s">
        <v>21</v>
      </c>
      <c r="M5" s="2"/>
    </row>
    <row r="6" spans="1:14" ht="13.5">
      <c r="A6" s="13">
        <v>44931</v>
      </c>
      <c r="B6" s="14">
        <f t="shared" si="0"/>
        <v>46083</v>
      </c>
      <c r="C6" s="15" t="s">
        <v>8</v>
      </c>
      <c r="D6" s="23"/>
      <c r="E6" s="42" t="s">
        <v>15</v>
      </c>
      <c r="F6" s="42" t="s">
        <v>11</v>
      </c>
      <c r="G6" s="23"/>
      <c r="H6" s="42" t="s">
        <v>12</v>
      </c>
      <c r="I6" s="16">
        <v>4</v>
      </c>
      <c r="J6" s="2"/>
      <c r="K6" s="2"/>
      <c r="L6" s="2"/>
      <c r="M6" s="2"/>
    </row>
    <row r="7" spans="1:14" ht="13.5">
      <c r="A7" s="13">
        <v>44932</v>
      </c>
      <c r="B7" s="14">
        <f t="shared" si="0"/>
        <v>46090</v>
      </c>
      <c r="C7" s="15" t="s">
        <v>14</v>
      </c>
      <c r="D7" s="32" t="s">
        <v>22</v>
      </c>
      <c r="E7" s="42" t="s">
        <v>15</v>
      </c>
      <c r="F7" s="42" t="s">
        <v>16</v>
      </c>
      <c r="G7" s="44" t="s">
        <v>17</v>
      </c>
      <c r="H7" s="23"/>
      <c r="I7" s="16">
        <v>5</v>
      </c>
      <c r="J7" s="2"/>
      <c r="K7" s="2"/>
      <c r="L7" s="2" t="s">
        <v>23</v>
      </c>
      <c r="M7" s="2"/>
    </row>
    <row r="8" spans="1:14" ht="13.5">
      <c r="A8" s="13">
        <v>44933</v>
      </c>
      <c r="B8" s="14">
        <f t="shared" si="0"/>
        <v>46097</v>
      </c>
      <c r="C8" s="15" t="s">
        <v>8</v>
      </c>
      <c r="D8" s="23"/>
      <c r="E8" s="44" t="s">
        <v>15</v>
      </c>
      <c r="F8" s="44" t="s">
        <v>11</v>
      </c>
      <c r="G8" s="23"/>
      <c r="H8" s="44" t="s">
        <v>12</v>
      </c>
      <c r="I8" s="16">
        <v>4</v>
      </c>
      <c r="J8" s="2"/>
      <c r="K8" s="41" t="s">
        <v>24</v>
      </c>
      <c r="L8" s="41" t="s">
        <v>25</v>
      </c>
      <c r="M8" s="2"/>
    </row>
    <row r="9" spans="1:14" ht="13.5">
      <c r="A9" s="13">
        <v>44934</v>
      </c>
      <c r="B9" s="14">
        <f t="shared" si="0"/>
        <v>46104</v>
      </c>
      <c r="C9" s="15" t="s">
        <v>14</v>
      </c>
      <c r="D9" s="23"/>
      <c r="E9" s="44" t="s">
        <v>15</v>
      </c>
      <c r="F9" s="44" t="s">
        <v>16</v>
      </c>
      <c r="G9" s="44" t="s">
        <v>17</v>
      </c>
      <c r="H9" s="23"/>
      <c r="I9" s="16">
        <v>5</v>
      </c>
      <c r="J9" s="2"/>
      <c r="K9" s="39" t="s">
        <v>26</v>
      </c>
      <c r="L9" s="39" t="s">
        <v>27</v>
      </c>
      <c r="M9" s="2"/>
    </row>
    <row r="10" spans="1:14" ht="13.5">
      <c r="A10" s="13">
        <v>44935</v>
      </c>
      <c r="B10" s="14">
        <f t="shared" si="0"/>
        <v>46111</v>
      </c>
      <c r="C10" s="15" t="s">
        <v>8</v>
      </c>
      <c r="D10" s="23"/>
      <c r="E10" s="32" t="s">
        <v>28</v>
      </c>
      <c r="F10" s="44" t="s">
        <v>11</v>
      </c>
      <c r="G10" s="23"/>
      <c r="H10" s="32" t="s">
        <v>29</v>
      </c>
      <c r="I10" s="16">
        <v>1</v>
      </c>
      <c r="J10" s="2"/>
      <c r="K10" s="40" t="s">
        <v>30</v>
      </c>
      <c r="L10" s="40" t="s">
        <v>31</v>
      </c>
      <c r="M10" s="2"/>
    </row>
    <row r="11" spans="1:14" ht="15.75" customHeight="1">
      <c r="A11" s="17"/>
      <c r="B11" s="18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4" ht="13.5">
      <c r="A12" s="13">
        <v>44958</v>
      </c>
      <c r="B12" s="14">
        <f>B10+21</f>
        <v>46132</v>
      </c>
      <c r="C12" s="15" t="s">
        <v>14</v>
      </c>
      <c r="D12" s="23"/>
      <c r="E12" s="44" t="s">
        <v>15</v>
      </c>
      <c r="F12" s="44" t="s">
        <v>16</v>
      </c>
      <c r="G12" s="44" t="s">
        <v>17</v>
      </c>
      <c r="H12" s="23"/>
      <c r="I12" s="16">
        <v>5</v>
      </c>
      <c r="K12" s="2"/>
      <c r="L12" s="2" t="s">
        <v>32</v>
      </c>
      <c r="M12" s="2" t="s">
        <v>33</v>
      </c>
      <c r="N12" s="2" t="s">
        <v>34</v>
      </c>
    </row>
    <row r="13" spans="1:14" ht="13.5">
      <c r="A13" s="13">
        <v>44959</v>
      </c>
      <c r="B13" s="14">
        <f t="shared" ref="B13:B21" si="1">B12+7</f>
        <v>46139</v>
      </c>
      <c r="C13" s="15" t="s">
        <v>8</v>
      </c>
      <c r="D13" s="23"/>
      <c r="E13" s="44" t="s">
        <v>15</v>
      </c>
      <c r="F13" s="44" t="s">
        <v>11</v>
      </c>
      <c r="G13" s="23"/>
      <c r="H13" s="44" t="s">
        <v>12</v>
      </c>
      <c r="I13" s="16">
        <v>4</v>
      </c>
      <c r="K13" s="41" t="s">
        <v>24</v>
      </c>
      <c r="L13" s="7" t="s">
        <v>35</v>
      </c>
      <c r="M13" s="9" t="s">
        <v>36</v>
      </c>
      <c r="N13" s="8" t="s">
        <v>37</v>
      </c>
    </row>
    <row r="14" spans="1:14" ht="13.5">
      <c r="A14" s="13">
        <v>44960</v>
      </c>
      <c r="B14" s="14">
        <f t="shared" si="1"/>
        <v>46146</v>
      </c>
      <c r="C14" s="15" t="s">
        <v>14</v>
      </c>
      <c r="D14" s="23"/>
      <c r="E14" s="44" t="s">
        <v>15</v>
      </c>
      <c r="F14" s="43" t="s">
        <v>16</v>
      </c>
      <c r="G14" s="43" t="s">
        <v>17</v>
      </c>
      <c r="H14" s="23"/>
      <c r="I14" s="16">
        <v>5</v>
      </c>
      <c r="K14" s="39" t="s">
        <v>26</v>
      </c>
      <c r="L14" s="8" t="s">
        <v>37</v>
      </c>
      <c r="M14" s="7" t="s">
        <v>35</v>
      </c>
      <c r="N14" s="9" t="s">
        <v>36</v>
      </c>
    </row>
    <row r="15" spans="1:14" ht="13.5">
      <c r="A15" s="13">
        <v>44961</v>
      </c>
      <c r="B15" s="14">
        <f t="shared" si="1"/>
        <v>46153</v>
      </c>
      <c r="C15" s="15" t="s">
        <v>8</v>
      </c>
      <c r="D15" s="33" t="s">
        <v>38</v>
      </c>
      <c r="E15" s="43" t="s">
        <v>15</v>
      </c>
      <c r="F15" s="43" t="s">
        <v>11</v>
      </c>
      <c r="G15" s="23"/>
      <c r="H15" s="43" t="s">
        <v>12</v>
      </c>
      <c r="I15" s="16">
        <v>4</v>
      </c>
      <c r="K15" s="40" t="s">
        <v>30</v>
      </c>
      <c r="L15" s="9" t="s">
        <v>36</v>
      </c>
      <c r="M15" s="8" t="s">
        <v>37</v>
      </c>
      <c r="N15" s="7" t="s">
        <v>35</v>
      </c>
    </row>
    <row r="16" spans="1:14" ht="13.5">
      <c r="A16" s="13">
        <v>44962</v>
      </c>
      <c r="B16" s="14">
        <f t="shared" si="1"/>
        <v>46160</v>
      </c>
      <c r="C16" s="15" t="s">
        <v>14</v>
      </c>
      <c r="D16" s="23"/>
      <c r="E16" s="43" t="s">
        <v>15</v>
      </c>
      <c r="F16" s="43" t="s">
        <v>16</v>
      </c>
      <c r="G16" s="43" t="s">
        <v>17</v>
      </c>
      <c r="H16" s="23"/>
      <c r="I16" s="16">
        <v>5</v>
      </c>
      <c r="J16" s="2"/>
      <c r="K16" s="2"/>
      <c r="L16" s="2"/>
    </row>
    <row r="17" spans="1:13" ht="13.5">
      <c r="A17" s="13">
        <v>44963</v>
      </c>
      <c r="B17" s="14">
        <f t="shared" si="1"/>
        <v>46167</v>
      </c>
      <c r="C17" s="15" t="s">
        <v>8</v>
      </c>
      <c r="D17" s="23"/>
      <c r="E17" s="43" t="s">
        <v>15</v>
      </c>
      <c r="F17" s="43" t="s">
        <v>11</v>
      </c>
      <c r="G17" s="23"/>
      <c r="H17" s="32" t="s">
        <v>39</v>
      </c>
      <c r="I17" s="16">
        <v>3</v>
      </c>
      <c r="J17" s="2"/>
      <c r="K17" s="2"/>
      <c r="L17" s="2"/>
      <c r="M17" s="2"/>
    </row>
    <row r="18" spans="1:13" ht="13.5">
      <c r="A18" s="13">
        <v>44964</v>
      </c>
      <c r="B18" s="14">
        <f t="shared" si="1"/>
        <v>46174</v>
      </c>
      <c r="C18" s="15" t="s">
        <v>14</v>
      </c>
      <c r="D18" s="23"/>
      <c r="E18" s="43" t="s">
        <v>15</v>
      </c>
      <c r="F18" s="43" t="s">
        <v>16</v>
      </c>
      <c r="G18" s="43" t="s">
        <v>17</v>
      </c>
      <c r="H18" s="23"/>
      <c r="I18" s="16">
        <v>5</v>
      </c>
      <c r="J18" s="2"/>
      <c r="K18" s="2"/>
      <c r="L18" s="2"/>
      <c r="M18" s="2"/>
    </row>
    <row r="19" spans="1:13" ht="13.5">
      <c r="A19" s="13">
        <v>44965</v>
      </c>
      <c r="B19" s="14">
        <f t="shared" si="1"/>
        <v>46181</v>
      </c>
      <c r="C19" s="15" t="s">
        <v>8</v>
      </c>
      <c r="D19" s="33" t="s">
        <v>40</v>
      </c>
      <c r="E19" s="43" t="s">
        <v>15</v>
      </c>
      <c r="F19" s="38" t="s">
        <v>41</v>
      </c>
      <c r="G19" s="23"/>
      <c r="H19" s="38" t="s">
        <v>42</v>
      </c>
      <c r="I19" s="2">
        <v>4</v>
      </c>
      <c r="J19" s="2"/>
      <c r="K19" s="2"/>
      <c r="L19" s="2"/>
      <c r="M19" s="2"/>
    </row>
    <row r="20" spans="1:13" ht="12.75">
      <c r="A20" s="13">
        <v>44966</v>
      </c>
      <c r="B20" s="14">
        <f t="shared" si="1"/>
        <v>46188</v>
      </c>
      <c r="C20" s="15" t="s">
        <v>14</v>
      </c>
      <c r="D20" s="35" t="s">
        <v>43</v>
      </c>
      <c r="E20" s="34" t="s">
        <v>44</v>
      </c>
      <c r="F20" s="35" t="s">
        <v>43</v>
      </c>
      <c r="G20" s="35" t="s">
        <v>43</v>
      </c>
      <c r="H20" s="35" t="s">
        <v>43</v>
      </c>
      <c r="I20" s="16">
        <v>2</v>
      </c>
      <c r="J20" s="2"/>
      <c r="K20" s="2"/>
      <c r="L20" s="2"/>
      <c r="M20" s="2"/>
    </row>
    <row r="21" spans="1:13" ht="12.75">
      <c r="A21" s="13">
        <v>44967</v>
      </c>
      <c r="B21" s="14">
        <f t="shared" si="1"/>
        <v>46195</v>
      </c>
      <c r="C21" s="15" t="s">
        <v>8</v>
      </c>
      <c r="D21" s="35" t="s">
        <v>43</v>
      </c>
      <c r="E21" s="35" t="s">
        <v>45</v>
      </c>
      <c r="F21" s="35" t="s">
        <v>45</v>
      </c>
      <c r="G21" s="35" t="s">
        <v>45</v>
      </c>
      <c r="H21" s="35" t="s">
        <v>45</v>
      </c>
      <c r="I21" s="16">
        <v>0</v>
      </c>
      <c r="J21" s="2"/>
    </row>
    <row r="22" spans="1:13" ht="15.75" customHeight="1">
      <c r="A22" s="2"/>
      <c r="B22" s="18"/>
      <c r="C22" s="2"/>
      <c r="D22" s="2"/>
      <c r="E22" s="2"/>
      <c r="F22" s="2"/>
      <c r="G22" s="2"/>
      <c r="H22" s="2"/>
      <c r="I22" s="2"/>
      <c r="J22" s="2"/>
    </row>
    <row r="23" spans="1:13" ht="12.75">
      <c r="A23" s="19" t="s">
        <v>46</v>
      </c>
      <c r="B23" s="14">
        <f>B21+21</f>
        <v>46216</v>
      </c>
      <c r="C23" s="15" t="s">
        <v>47</v>
      </c>
      <c r="D23" s="15"/>
      <c r="E23" s="2"/>
      <c r="F23" s="2"/>
      <c r="G23" s="2"/>
      <c r="H23" s="2"/>
      <c r="I23" s="2"/>
      <c r="J23" s="2"/>
      <c r="K23" s="1" t="s">
        <v>48</v>
      </c>
      <c r="L23" s="2"/>
      <c r="M23" s="2"/>
    </row>
    <row r="24" spans="1:13" ht="13.5">
      <c r="A24" s="13">
        <v>44986</v>
      </c>
      <c r="B24" s="14">
        <f t="shared" ref="B24:B32" si="2">B23+7</f>
        <v>46223</v>
      </c>
      <c r="C24" s="15" t="s">
        <v>8</v>
      </c>
      <c r="D24" s="2"/>
      <c r="E24" s="42" t="s">
        <v>15</v>
      </c>
      <c r="F24" s="42" t="s">
        <v>11</v>
      </c>
      <c r="G24" s="23"/>
      <c r="H24" s="42" t="s">
        <v>12</v>
      </c>
      <c r="I24" s="16">
        <v>4</v>
      </c>
      <c r="J24" s="2"/>
      <c r="K24" s="4">
        <v>64</v>
      </c>
      <c r="L24" s="2" t="s">
        <v>7</v>
      </c>
      <c r="M24" s="2"/>
    </row>
    <row r="25" spans="1:13" ht="13.5">
      <c r="A25" s="13">
        <v>44987</v>
      </c>
      <c r="B25" s="14">
        <f t="shared" si="2"/>
        <v>46230</v>
      </c>
      <c r="C25" s="15" t="s">
        <v>14</v>
      </c>
      <c r="D25" s="2"/>
      <c r="E25" s="42" t="s">
        <v>15</v>
      </c>
      <c r="F25" s="42" t="s">
        <v>16</v>
      </c>
      <c r="G25" s="42" t="s">
        <v>17</v>
      </c>
      <c r="H25" s="23"/>
      <c r="I25" s="16">
        <v>5</v>
      </c>
      <c r="J25" s="2"/>
      <c r="K25" s="4" t="s">
        <v>49</v>
      </c>
      <c r="L25" s="2" t="s">
        <v>19</v>
      </c>
      <c r="M25" s="2"/>
    </row>
    <row r="26" spans="1:13" ht="13.5">
      <c r="A26" s="13">
        <v>44988</v>
      </c>
      <c r="B26" s="14">
        <f t="shared" si="2"/>
        <v>46237</v>
      </c>
      <c r="C26" s="15" t="s">
        <v>8</v>
      </c>
      <c r="D26" s="2"/>
      <c r="E26" s="42" t="s">
        <v>15</v>
      </c>
      <c r="F26" s="42" t="s">
        <v>11</v>
      </c>
      <c r="G26" s="23"/>
      <c r="H26" s="42" t="s">
        <v>12</v>
      </c>
      <c r="I26" s="16">
        <v>4</v>
      </c>
      <c r="J26" s="2"/>
      <c r="K26" s="4">
        <v>3</v>
      </c>
      <c r="L26" s="2" t="s">
        <v>50</v>
      </c>
      <c r="M26" s="2"/>
    </row>
    <row r="27" spans="1:13" ht="13.5">
      <c r="A27" s="13">
        <v>44989</v>
      </c>
      <c r="B27" s="14">
        <f t="shared" si="2"/>
        <v>46244</v>
      </c>
      <c r="C27" s="15" t="s">
        <v>14</v>
      </c>
      <c r="D27" s="2"/>
      <c r="E27" s="42" t="s">
        <v>51</v>
      </c>
      <c r="F27" s="42" t="s">
        <v>16</v>
      </c>
      <c r="G27" s="42" t="s">
        <v>17</v>
      </c>
      <c r="H27" s="23"/>
      <c r="I27" s="16">
        <v>5</v>
      </c>
      <c r="J27" s="2"/>
      <c r="K27" s="2"/>
      <c r="L27" s="2"/>
      <c r="M27" s="2"/>
    </row>
    <row r="28" spans="1:13" ht="13.5">
      <c r="A28" s="13">
        <v>44990</v>
      </c>
      <c r="B28" s="14">
        <f t="shared" si="2"/>
        <v>46251</v>
      </c>
      <c r="C28" s="15" t="s">
        <v>8</v>
      </c>
      <c r="D28" s="35" t="s">
        <v>52</v>
      </c>
      <c r="E28" s="42" t="s">
        <v>15</v>
      </c>
      <c r="F28" s="44" t="s">
        <v>11</v>
      </c>
      <c r="G28" s="23"/>
      <c r="H28" s="44" t="s">
        <v>12</v>
      </c>
      <c r="I28" s="16">
        <v>4</v>
      </c>
      <c r="J28" s="2"/>
      <c r="K28" s="2"/>
      <c r="L28" s="2" t="s">
        <v>23</v>
      </c>
      <c r="M28" s="2"/>
    </row>
    <row r="29" spans="1:13" ht="13.5">
      <c r="A29" s="13">
        <v>44991</v>
      </c>
      <c r="B29" s="14">
        <f t="shared" si="2"/>
        <v>46258</v>
      </c>
      <c r="C29" s="15" t="s">
        <v>14</v>
      </c>
      <c r="D29" s="2"/>
      <c r="E29" s="44" t="s">
        <v>15</v>
      </c>
      <c r="F29" s="44" t="s">
        <v>16</v>
      </c>
      <c r="G29" s="44" t="s">
        <v>17</v>
      </c>
      <c r="H29" s="23"/>
      <c r="I29" s="16">
        <v>5</v>
      </c>
      <c r="J29" s="2"/>
      <c r="K29" s="41" t="s">
        <v>24</v>
      </c>
      <c r="L29" s="41" t="s">
        <v>53</v>
      </c>
      <c r="M29" s="2"/>
    </row>
    <row r="30" spans="1:13" ht="13.5">
      <c r="A30" s="13">
        <v>44992</v>
      </c>
      <c r="B30" s="14">
        <f t="shared" si="2"/>
        <v>46265</v>
      </c>
      <c r="C30" s="15" t="s">
        <v>8</v>
      </c>
      <c r="D30" s="2"/>
      <c r="E30" s="44" t="s">
        <v>15</v>
      </c>
      <c r="F30" s="44" t="s">
        <v>11</v>
      </c>
      <c r="G30" s="23"/>
      <c r="H30" s="44" t="s">
        <v>12</v>
      </c>
      <c r="I30" s="16">
        <v>4</v>
      </c>
      <c r="K30" s="39" t="s">
        <v>26</v>
      </c>
      <c r="L30" s="39" t="s">
        <v>54</v>
      </c>
      <c r="M30" s="2"/>
    </row>
    <row r="31" spans="1:13" ht="13.5">
      <c r="A31" s="13">
        <v>44993</v>
      </c>
      <c r="B31" s="14">
        <f t="shared" si="2"/>
        <v>46272</v>
      </c>
      <c r="C31" s="15" t="s">
        <v>14</v>
      </c>
      <c r="D31" s="2"/>
      <c r="E31" s="44" t="s">
        <v>15</v>
      </c>
      <c r="F31" s="44" t="s">
        <v>16</v>
      </c>
      <c r="G31" s="44" t="s">
        <v>17</v>
      </c>
      <c r="H31" s="23"/>
      <c r="I31" s="16">
        <v>5</v>
      </c>
      <c r="K31" s="40" t="s">
        <v>30</v>
      </c>
      <c r="L31" s="40" t="s">
        <v>55</v>
      </c>
      <c r="M31" s="2"/>
    </row>
    <row r="32" spans="1:13" ht="13.5">
      <c r="A32" s="13">
        <v>44994</v>
      </c>
      <c r="B32" s="14">
        <f t="shared" si="2"/>
        <v>46279</v>
      </c>
      <c r="C32" s="15" t="s">
        <v>8</v>
      </c>
      <c r="D32" s="2"/>
      <c r="E32" s="44" t="s">
        <v>15</v>
      </c>
      <c r="F32" s="44" t="s">
        <v>11</v>
      </c>
      <c r="G32" s="23"/>
      <c r="H32" s="44" t="s">
        <v>12</v>
      </c>
      <c r="I32" s="16">
        <v>4</v>
      </c>
    </row>
    <row r="33" spans="1:14" ht="12.75">
      <c r="A33" s="13"/>
      <c r="B33" s="14"/>
      <c r="C33" s="3"/>
      <c r="D33" s="2"/>
      <c r="E33" s="2"/>
      <c r="F33" s="2"/>
      <c r="G33" s="2"/>
      <c r="H33" s="2"/>
      <c r="I33" s="16"/>
      <c r="K33" s="2"/>
      <c r="L33" s="2"/>
      <c r="M33" s="2"/>
    </row>
    <row r="34" spans="1:14" ht="13.5">
      <c r="A34" s="13">
        <v>45017</v>
      </c>
      <c r="B34" s="14">
        <f>B32+21</f>
        <v>46300</v>
      </c>
      <c r="C34" s="15" t="s">
        <v>14</v>
      </c>
      <c r="D34" s="23"/>
      <c r="E34" s="43" t="s">
        <v>15</v>
      </c>
      <c r="F34" s="43" t="s">
        <v>16</v>
      </c>
      <c r="G34" s="43" t="s">
        <v>17</v>
      </c>
      <c r="H34" s="23"/>
      <c r="I34" s="16">
        <v>5</v>
      </c>
      <c r="K34" s="2"/>
      <c r="L34" s="2" t="s">
        <v>32</v>
      </c>
      <c r="M34" s="2" t="s">
        <v>33</v>
      </c>
      <c r="N34" s="2" t="s">
        <v>34</v>
      </c>
    </row>
    <row r="35" spans="1:14" ht="13.5">
      <c r="A35" s="13">
        <v>45018</v>
      </c>
      <c r="B35" s="14">
        <f t="shared" ref="B35:B44" si="3">B34+7</f>
        <v>46307</v>
      </c>
      <c r="C35" s="15" t="s">
        <v>8</v>
      </c>
      <c r="D35" s="23"/>
      <c r="E35" s="43" t="s">
        <v>15</v>
      </c>
      <c r="F35" s="43" t="s">
        <v>11</v>
      </c>
      <c r="G35" s="23"/>
      <c r="H35" s="43" t="s">
        <v>12</v>
      </c>
      <c r="I35" s="16">
        <v>4</v>
      </c>
      <c r="J35" s="2"/>
      <c r="K35" s="41" t="s">
        <v>24</v>
      </c>
      <c r="L35" s="7" t="s">
        <v>35</v>
      </c>
      <c r="M35" s="9" t="s">
        <v>36</v>
      </c>
      <c r="N35" s="8" t="s">
        <v>37</v>
      </c>
    </row>
    <row r="36" spans="1:14" ht="13.5">
      <c r="A36" s="13">
        <v>45019</v>
      </c>
      <c r="B36" s="14">
        <f t="shared" si="3"/>
        <v>46314</v>
      </c>
      <c r="C36" s="15" t="s">
        <v>14</v>
      </c>
      <c r="D36" s="25"/>
      <c r="E36" s="43" t="s">
        <v>15</v>
      </c>
      <c r="F36" s="43" t="s">
        <v>16</v>
      </c>
      <c r="G36" s="43" t="s">
        <v>17</v>
      </c>
      <c r="H36" s="23"/>
      <c r="I36" s="16">
        <v>5</v>
      </c>
      <c r="J36" s="2"/>
      <c r="K36" s="39" t="s">
        <v>26</v>
      </c>
      <c r="L36" s="8" t="s">
        <v>37</v>
      </c>
      <c r="M36" s="7" t="s">
        <v>35</v>
      </c>
      <c r="N36" s="9" t="s">
        <v>36</v>
      </c>
    </row>
    <row r="37" spans="1:14" ht="13.5">
      <c r="A37" s="13">
        <v>45020</v>
      </c>
      <c r="B37" s="14">
        <f t="shared" si="3"/>
        <v>46321</v>
      </c>
      <c r="C37" s="15" t="s">
        <v>8</v>
      </c>
      <c r="D37" s="25"/>
      <c r="E37" s="43" t="s">
        <v>15</v>
      </c>
      <c r="F37" s="43" t="s">
        <v>11</v>
      </c>
      <c r="G37" s="23"/>
      <c r="H37" s="43" t="s">
        <v>12</v>
      </c>
      <c r="I37" s="16">
        <v>4</v>
      </c>
      <c r="J37" s="2"/>
      <c r="K37" s="40" t="s">
        <v>30</v>
      </c>
      <c r="L37" s="9" t="s">
        <v>36</v>
      </c>
      <c r="M37" s="8" t="s">
        <v>37</v>
      </c>
      <c r="N37" s="7" t="s">
        <v>35</v>
      </c>
    </row>
    <row r="38" spans="1:14" ht="13.5">
      <c r="A38" s="13">
        <v>45021</v>
      </c>
      <c r="B38" s="14">
        <f t="shared" si="3"/>
        <v>46328</v>
      </c>
      <c r="C38" s="15" t="s">
        <v>14</v>
      </c>
      <c r="D38" s="22" t="s">
        <v>56</v>
      </c>
      <c r="E38" s="22" t="s">
        <v>56</v>
      </c>
      <c r="F38" s="43" t="s">
        <v>16</v>
      </c>
      <c r="G38" s="43" t="s">
        <v>17</v>
      </c>
      <c r="H38" s="23"/>
      <c r="I38" s="3">
        <v>3</v>
      </c>
      <c r="J38" s="2"/>
      <c r="K38" s="2"/>
      <c r="L38" s="2"/>
      <c r="M38" s="2"/>
    </row>
    <row r="39" spans="1:14" ht="13.5">
      <c r="A39" s="13">
        <v>45022</v>
      </c>
      <c r="B39" s="14">
        <f t="shared" si="3"/>
        <v>46335</v>
      </c>
      <c r="C39" s="15" t="s">
        <v>8</v>
      </c>
      <c r="D39" s="23"/>
      <c r="E39" s="45" t="s">
        <v>57</v>
      </c>
      <c r="F39" s="45" t="s">
        <v>58</v>
      </c>
      <c r="G39" s="23"/>
      <c r="H39" s="35" t="s">
        <v>43</v>
      </c>
      <c r="I39" s="16">
        <v>3</v>
      </c>
      <c r="J39" s="2"/>
      <c r="K39" s="36" t="s">
        <v>59</v>
      </c>
      <c r="L39" s="2"/>
      <c r="M39" s="2"/>
    </row>
    <row r="40" spans="1:14" ht="12.75">
      <c r="A40" s="13">
        <v>45023</v>
      </c>
      <c r="B40" s="14">
        <f t="shared" si="3"/>
        <v>46342</v>
      </c>
      <c r="C40" s="15" t="s">
        <v>14</v>
      </c>
      <c r="D40" s="35" t="s">
        <v>43</v>
      </c>
      <c r="E40" s="35" t="s">
        <v>43</v>
      </c>
      <c r="F40" s="35" t="s">
        <v>43</v>
      </c>
      <c r="G40" s="35" t="s">
        <v>43</v>
      </c>
      <c r="H40" s="32" t="s">
        <v>39</v>
      </c>
      <c r="I40" s="16">
        <v>0</v>
      </c>
      <c r="J40" s="2"/>
      <c r="K40" s="37" t="s">
        <v>60</v>
      </c>
      <c r="L40" s="2"/>
      <c r="M40" s="2"/>
    </row>
    <row r="41" spans="1:14" ht="13.5">
      <c r="A41" s="13">
        <v>45024</v>
      </c>
      <c r="B41" s="14">
        <f t="shared" si="3"/>
        <v>46349</v>
      </c>
      <c r="C41" s="15" t="s">
        <v>8</v>
      </c>
      <c r="D41" s="22" t="s">
        <v>61</v>
      </c>
      <c r="E41" s="22" t="s">
        <v>61</v>
      </c>
      <c r="F41" s="22" t="s">
        <v>61</v>
      </c>
      <c r="G41" s="15"/>
      <c r="H41" s="15"/>
      <c r="I41" s="16">
        <v>0</v>
      </c>
      <c r="J41" s="2"/>
      <c r="K41" s="2"/>
      <c r="L41" s="2"/>
      <c r="M41" s="2"/>
    </row>
    <row r="42" spans="1:14" ht="13.5">
      <c r="A42" s="13">
        <v>45025</v>
      </c>
      <c r="B42" s="14">
        <f t="shared" si="3"/>
        <v>46356</v>
      </c>
      <c r="C42" s="15" t="s">
        <v>14</v>
      </c>
      <c r="D42" s="22" t="s">
        <v>62</v>
      </c>
      <c r="E42" s="22" t="s">
        <v>62</v>
      </c>
      <c r="F42" s="22" t="s">
        <v>62</v>
      </c>
      <c r="G42" s="22" t="s">
        <v>62</v>
      </c>
      <c r="H42" s="22" t="s">
        <v>62</v>
      </c>
      <c r="I42" s="2">
        <v>0</v>
      </c>
      <c r="J42" s="2"/>
      <c r="K42" s="2"/>
      <c r="L42" s="2"/>
      <c r="M42" s="2"/>
    </row>
    <row r="43" spans="1:14" ht="12.75">
      <c r="A43" s="13">
        <v>45026</v>
      </c>
      <c r="B43" s="14">
        <f t="shared" si="3"/>
        <v>46363</v>
      </c>
      <c r="C43" t="s">
        <v>8</v>
      </c>
      <c r="D43" s="25"/>
      <c r="E43" s="25"/>
      <c r="F43" s="2"/>
      <c r="G43" s="2"/>
      <c r="H43" s="2"/>
      <c r="I43" s="2"/>
      <c r="J43" s="2"/>
      <c r="K43" s="2"/>
      <c r="L43" s="2"/>
      <c r="M43" s="2"/>
    </row>
    <row r="44" spans="1:14" ht="13.5">
      <c r="A44" s="13">
        <v>45027</v>
      </c>
      <c r="B44" s="14">
        <f t="shared" si="3"/>
        <v>46370</v>
      </c>
      <c r="C44" s="15" t="s">
        <v>14</v>
      </c>
      <c r="D44" s="22" t="s">
        <v>63</v>
      </c>
      <c r="E44" s="22"/>
      <c r="F44" s="2"/>
      <c r="G44" s="2"/>
      <c r="H44" s="2"/>
      <c r="I44" s="2"/>
      <c r="J44" s="2"/>
      <c r="K44" s="2"/>
      <c r="L44" s="2"/>
      <c r="M44" s="2"/>
    </row>
    <row r="45" spans="1:14" ht="12.75">
      <c r="J45" s="2"/>
      <c r="K45" s="2"/>
      <c r="L45" s="2"/>
      <c r="M45" s="2"/>
    </row>
    <row r="46" spans="1:14" ht="12.75">
      <c r="A46" s="2"/>
      <c r="B46" s="20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4" ht="12.75">
      <c r="A47" s="2"/>
      <c r="B47" s="20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4" ht="12.75">
      <c r="A48" s="2"/>
      <c r="B48" s="20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ht="12.75">
      <c r="A49" s="2"/>
      <c r="B49" s="20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ht="12.75">
      <c r="A50" s="2"/>
      <c r="B50" s="20"/>
      <c r="C50" s="2"/>
      <c r="F50" s="2"/>
      <c r="G50" s="2"/>
      <c r="H50" s="2"/>
      <c r="I50" s="2"/>
      <c r="J50" s="2"/>
      <c r="K50" s="2"/>
      <c r="L50" s="2"/>
      <c r="M50" s="2"/>
    </row>
  </sheetData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T75"/>
  <sheetViews>
    <sheetView tabSelected="1" zoomScale="200" zoomScaleNormal="200" zoomScaleSheetLayoutView="97" workbookViewId="0">
      <selection activeCell="F23" sqref="F23"/>
    </sheetView>
  </sheetViews>
  <sheetFormatPr defaultColWidth="12.5703125" defaultRowHeight="14.25" customHeight="1"/>
  <cols>
    <col min="1" max="1" width="13.42578125" bestFit="1" customWidth="1"/>
    <col min="2" max="2" width="33.42578125" bestFit="1" customWidth="1"/>
    <col min="3" max="3" width="32.42578125" bestFit="1" customWidth="1"/>
  </cols>
  <sheetData>
    <row r="1" spans="1:20" ht="14.25" customHeight="1">
      <c r="A1" s="1" t="s">
        <v>64</v>
      </c>
      <c r="B1" s="1" t="s">
        <v>65</v>
      </c>
      <c r="C1" s="1" t="s">
        <v>66</v>
      </c>
      <c r="D1" s="27" t="s">
        <v>64</v>
      </c>
      <c r="E1" s="21" t="s">
        <v>67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</row>
    <row r="2" spans="1:20" ht="14.25" customHeight="1">
      <c r="A2" s="2" t="s">
        <v>68</v>
      </c>
      <c r="B2" s="5" t="s">
        <v>69</v>
      </c>
      <c r="C2" s="2"/>
    </row>
    <row r="3" spans="1:20" ht="14.25" customHeight="1">
      <c r="A3" s="2" t="s">
        <v>70</v>
      </c>
      <c r="B3" s="2" t="s">
        <v>71</v>
      </c>
      <c r="C3" s="2" t="s">
        <v>72</v>
      </c>
    </row>
    <row r="4" spans="1:20" ht="14.25" customHeight="1">
      <c r="A4" s="2">
        <v>2</v>
      </c>
      <c r="B4" s="2" t="s">
        <v>73</v>
      </c>
      <c r="C4" s="2"/>
      <c r="E4" t="s">
        <v>74</v>
      </c>
    </row>
    <row r="5" spans="1:20" ht="14.25" customHeight="1">
      <c r="A5" s="2">
        <v>3</v>
      </c>
      <c r="B5" s="2" t="s">
        <v>73</v>
      </c>
      <c r="C5" s="2"/>
    </row>
    <row r="6" spans="1:20" ht="14.25" customHeight="1">
      <c r="A6" s="2">
        <v>4</v>
      </c>
      <c r="B6" s="2" t="s">
        <v>73</v>
      </c>
      <c r="C6" s="2"/>
    </row>
    <row r="7" spans="1:20" ht="14.25" customHeight="1">
      <c r="A7" s="2">
        <v>5</v>
      </c>
      <c r="B7" s="2" t="s">
        <v>75</v>
      </c>
      <c r="C7" s="2"/>
    </row>
    <row r="8" spans="1:20" ht="14.25" customHeight="1">
      <c r="A8">
        <v>6</v>
      </c>
      <c r="B8" s="2" t="s">
        <v>75</v>
      </c>
      <c r="C8" s="2" t="s">
        <v>76</v>
      </c>
      <c r="D8" s="2" t="s">
        <v>77</v>
      </c>
      <c r="E8" t="s">
        <v>78</v>
      </c>
    </row>
    <row r="9" spans="1:20" ht="14.25" customHeight="1">
      <c r="A9" s="2">
        <v>7</v>
      </c>
      <c r="B9" s="2" t="s">
        <v>75</v>
      </c>
    </row>
    <row r="10" spans="1:20" ht="14.25" customHeight="1">
      <c r="A10" s="2">
        <v>8</v>
      </c>
      <c r="B10" s="2" t="s">
        <v>75</v>
      </c>
    </row>
    <row r="11" spans="1:20" ht="14.25" customHeight="1">
      <c r="A11" s="2">
        <v>9</v>
      </c>
      <c r="B11" s="2" t="s">
        <v>79</v>
      </c>
      <c r="C11" s="2" t="s">
        <v>80</v>
      </c>
      <c r="D11" t="s">
        <v>81</v>
      </c>
    </row>
    <row r="12" spans="1:20" ht="14.25" customHeight="1">
      <c r="A12" s="2">
        <v>10</v>
      </c>
      <c r="B12" s="2" t="s">
        <v>79</v>
      </c>
      <c r="E12" t="s">
        <v>82</v>
      </c>
    </row>
    <row r="13" spans="1:20" ht="14.25" customHeight="1">
      <c r="A13" s="2">
        <v>11</v>
      </c>
      <c r="B13" s="2" t="s">
        <v>79</v>
      </c>
      <c r="E13" t="s">
        <v>83</v>
      </c>
    </row>
    <row r="14" spans="1:20" ht="14.25" customHeight="1">
      <c r="A14" s="2">
        <v>12</v>
      </c>
      <c r="B14" s="2" t="s">
        <v>79</v>
      </c>
      <c r="C14" s="2"/>
      <c r="E14" t="s">
        <v>84</v>
      </c>
    </row>
    <row r="15" spans="1:20" ht="14.25" customHeight="1">
      <c r="A15" s="2">
        <v>13</v>
      </c>
      <c r="B15" s="2" t="s">
        <v>85</v>
      </c>
      <c r="C15" s="2" t="s">
        <v>86</v>
      </c>
      <c r="D15" t="s">
        <v>87</v>
      </c>
    </row>
    <row r="16" spans="1:20" ht="14.25" customHeight="1">
      <c r="A16" s="2">
        <v>14</v>
      </c>
      <c r="B16" s="2" t="s">
        <v>85</v>
      </c>
    </row>
    <row r="17" spans="1:5" ht="14.25" customHeight="1">
      <c r="A17" s="2">
        <v>15</v>
      </c>
      <c r="B17" s="2" t="s">
        <v>85</v>
      </c>
      <c r="C17" s="2"/>
    </row>
    <row r="18" spans="1:5" ht="14.25" customHeight="1">
      <c r="A18" s="2">
        <v>16</v>
      </c>
      <c r="B18" s="2" t="s">
        <v>88</v>
      </c>
    </row>
    <row r="19" spans="1:5" ht="14.25" customHeight="1">
      <c r="A19" s="2">
        <v>17</v>
      </c>
      <c r="B19" s="2" t="s">
        <v>88</v>
      </c>
      <c r="C19" s="2" t="s">
        <v>89</v>
      </c>
      <c r="D19" t="s">
        <v>90</v>
      </c>
    </row>
    <row r="20" spans="1:5" ht="14.25" customHeight="1">
      <c r="A20" s="2">
        <v>18</v>
      </c>
      <c r="B20" s="2" t="s">
        <v>88</v>
      </c>
      <c r="C20" s="2"/>
      <c r="E20" t="s">
        <v>91</v>
      </c>
    </row>
    <row r="21" spans="1:5" ht="14.25" customHeight="1">
      <c r="A21" s="2">
        <v>19</v>
      </c>
      <c r="B21" s="2" t="s">
        <v>88</v>
      </c>
      <c r="C21" s="2" t="s">
        <v>92</v>
      </c>
      <c r="D21" t="s">
        <v>93</v>
      </c>
    </row>
    <row r="22" spans="1:5" ht="14.25" customHeight="1">
      <c r="A22" s="2">
        <v>20</v>
      </c>
      <c r="B22" s="2" t="s">
        <v>94</v>
      </c>
      <c r="C22" s="2"/>
    </row>
    <row r="23" spans="1:5" ht="14.25" customHeight="1">
      <c r="A23" s="2" t="s">
        <v>95</v>
      </c>
      <c r="B23" s="2" t="s">
        <v>96</v>
      </c>
      <c r="C23" s="2" t="s">
        <v>96</v>
      </c>
    </row>
    <row r="24" spans="1:5" ht="14.25" customHeight="1">
      <c r="A24" s="2" t="s">
        <v>97</v>
      </c>
      <c r="B24" s="2" t="s">
        <v>98</v>
      </c>
      <c r="C24" s="2" t="s">
        <v>99</v>
      </c>
    </row>
    <row r="25" spans="1:5" ht="14.25" customHeight="1">
      <c r="A25" s="4"/>
      <c r="C25" s="2"/>
      <c r="D25" s="2"/>
    </row>
    <row r="26" spans="1:5" ht="14.25" customHeight="1">
      <c r="A26" s="2"/>
      <c r="B26" s="2"/>
      <c r="C26" s="2"/>
      <c r="D26" s="2"/>
    </row>
    <row r="27" spans="1:5" ht="14.25" customHeight="1">
      <c r="A27" s="2"/>
      <c r="B27" s="2" t="s">
        <v>100</v>
      </c>
      <c r="C27" s="6" t="s">
        <v>101</v>
      </c>
      <c r="D27" s="2"/>
    </row>
    <row r="28" spans="1:5" ht="14.25" customHeight="1">
      <c r="A28" s="4">
        <v>1</v>
      </c>
      <c r="B28" s="2" t="s">
        <v>102</v>
      </c>
      <c r="C28" s="2" t="s">
        <v>71</v>
      </c>
      <c r="D28" s="2" t="s">
        <v>72</v>
      </c>
    </row>
    <row r="29" spans="1:5" ht="14.25" customHeight="1">
      <c r="A29" s="4">
        <v>2</v>
      </c>
      <c r="B29" s="2" t="s">
        <v>103</v>
      </c>
      <c r="C29" s="2" t="s">
        <v>73</v>
      </c>
      <c r="D29" s="2"/>
    </row>
    <row r="30" spans="1:5" ht="14.25" customHeight="1">
      <c r="A30" s="4">
        <v>3</v>
      </c>
      <c r="B30" s="2" t="s">
        <v>104</v>
      </c>
      <c r="C30" s="2" t="s">
        <v>73</v>
      </c>
      <c r="D30" s="2"/>
    </row>
    <row r="31" spans="1:5" ht="14.25" customHeight="1">
      <c r="A31" s="4">
        <v>4</v>
      </c>
      <c r="B31" s="2" t="s">
        <v>105</v>
      </c>
      <c r="C31" s="2" t="s">
        <v>73</v>
      </c>
      <c r="D31" s="2"/>
    </row>
    <row r="32" spans="1:5" ht="14.25" customHeight="1">
      <c r="A32" s="4">
        <v>5</v>
      </c>
      <c r="B32" s="2" t="s">
        <v>106</v>
      </c>
      <c r="C32" s="2" t="s">
        <v>75</v>
      </c>
    </row>
    <row r="33" spans="1:4" ht="14.25" customHeight="1">
      <c r="A33" s="4">
        <v>6</v>
      </c>
      <c r="B33" s="2" t="s">
        <v>107</v>
      </c>
      <c r="C33" s="2" t="s">
        <v>75</v>
      </c>
      <c r="D33" s="2" t="s">
        <v>76</v>
      </c>
    </row>
    <row r="34" spans="1:4" ht="14.25" customHeight="1">
      <c r="A34" s="4">
        <v>7</v>
      </c>
      <c r="B34" s="2" t="s">
        <v>108</v>
      </c>
      <c r="C34" s="2" t="s">
        <v>75</v>
      </c>
    </row>
    <row r="35" spans="1:4" ht="14.25" customHeight="1">
      <c r="A35" s="4">
        <v>8</v>
      </c>
      <c r="B35" s="2" t="s">
        <v>109</v>
      </c>
      <c r="C35" s="2" t="s">
        <v>79</v>
      </c>
    </row>
    <row r="36" spans="1:4" ht="14.25" customHeight="1">
      <c r="A36" s="4">
        <v>9</v>
      </c>
      <c r="B36" s="2" t="s">
        <v>110</v>
      </c>
      <c r="C36" s="2" t="s">
        <v>79</v>
      </c>
      <c r="D36" s="2" t="s">
        <v>80</v>
      </c>
    </row>
    <row r="37" spans="1:4" ht="14.25" customHeight="1">
      <c r="A37" s="4">
        <v>10</v>
      </c>
      <c r="B37" s="2" t="s">
        <v>111</v>
      </c>
      <c r="C37" s="2" t="s">
        <v>112</v>
      </c>
    </row>
    <row r="38" spans="1:4" ht="14.25" customHeight="1">
      <c r="A38" s="4">
        <v>11</v>
      </c>
      <c r="B38" s="2" t="s">
        <v>113</v>
      </c>
      <c r="C38" s="2" t="s">
        <v>79</v>
      </c>
    </row>
    <row r="39" spans="1:4" ht="14.25" customHeight="1">
      <c r="A39" s="4">
        <v>12</v>
      </c>
      <c r="B39" s="2" t="s">
        <v>114</v>
      </c>
      <c r="C39" s="2" t="s">
        <v>79</v>
      </c>
      <c r="D39" s="2"/>
    </row>
    <row r="40" spans="1:4" ht="14.25" customHeight="1">
      <c r="A40" s="4">
        <v>13</v>
      </c>
      <c r="B40" s="2" t="s">
        <v>115</v>
      </c>
      <c r="C40" s="2" t="s">
        <v>85</v>
      </c>
    </row>
    <row r="41" spans="1:4" ht="14.25" customHeight="1">
      <c r="A41" s="4">
        <v>14</v>
      </c>
      <c r="B41" s="2" t="s">
        <v>116</v>
      </c>
      <c r="C41" s="2" t="s">
        <v>85</v>
      </c>
      <c r="D41" s="2" t="s">
        <v>86</v>
      </c>
    </row>
    <row r="42" spans="1:4" ht="14.25" customHeight="1">
      <c r="A42" s="4">
        <v>15</v>
      </c>
      <c r="B42" s="26" t="s">
        <v>117</v>
      </c>
      <c r="C42" s="2" t="s">
        <v>85</v>
      </c>
      <c r="D42" s="2"/>
    </row>
    <row r="43" spans="1:4" ht="14.25" customHeight="1">
      <c r="A43" s="4">
        <v>16</v>
      </c>
      <c r="B43" s="2" t="s">
        <v>118</v>
      </c>
      <c r="C43" s="2" t="s">
        <v>88</v>
      </c>
      <c r="D43" s="2" t="s">
        <v>89</v>
      </c>
    </row>
    <row r="44" spans="1:4" ht="14.25" customHeight="1">
      <c r="A44" s="4">
        <v>17</v>
      </c>
      <c r="B44" s="2" t="s">
        <v>119</v>
      </c>
      <c r="C44" s="2" t="s">
        <v>88</v>
      </c>
    </row>
    <row r="45" spans="1:4" ht="14.25" customHeight="1">
      <c r="A45" s="4">
        <v>18</v>
      </c>
      <c r="B45" s="2" t="s">
        <v>120</v>
      </c>
      <c r="C45" s="2" t="s">
        <v>88</v>
      </c>
      <c r="D45" s="2"/>
    </row>
    <row r="46" spans="1:4" ht="14.25" customHeight="1">
      <c r="A46" s="4">
        <v>19</v>
      </c>
      <c r="B46" s="2" t="s">
        <v>121</v>
      </c>
      <c r="C46" s="2" t="s">
        <v>88</v>
      </c>
      <c r="D46" s="2" t="s">
        <v>92</v>
      </c>
    </row>
    <row r="47" spans="1:4" ht="14.25" customHeight="1">
      <c r="A47" s="4">
        <v>20</v>
      </c>
      <c r="B47" s="2" t="s">
        <v>122</v>
      </c>
      <c r="C47" s="2" t="s">
        <v>94</v>
      </c>
      <c r="D47" s="2"/>
    </row>
    <row r="48" spans="1:4" ht="14.25" customHeight="1">
      <c r="A48" s="4">
        <v>21</v>
      </c>
      <c r="B48" s="2" t="s">
        <v>123</v>
      </c>
      <c r="C48" s="2" t="s">
        <v>96</v>
      </c>
      <c r="D48" s="2" t="s">
        <v>96</v>
      </c>
    </row>
    <row r="49" spans="1:5" ht="14.25" customHeight="1">
      <c r="A49" s="4">
        <v>22</v>
      </c>
      <c r="B49" s="2" t="s">
        <v>124</v>
      </c>
      <c r="C49" s="2" t="s">
        <v>98</v>
      </c>
      <c r="D49" s="2" t="s">
        <v>99</v>
      </c>
    </row>
    <row r="50" spans="1:5" ht="14.25" customHeight="1">
      <c r="A50" s="4"/>
      <c r="B50" s="2"/>
      <c r="C50" s="2"/>
      <c r="D50" s="2"/>
    </row>
    <row r="51" spans="1:5" ht="14.25" customHeight="1">
      <c r="A51" s="2"/>
      <c r="B51" s="2"/>
      <c r="C51" s="2"/>
      <c r="D51" s="2"/>
    </row>
    <row r="52" spans="1:5" ht="14.25" customHeight="1">
      <c r="A52" s="2"/>
      <c r="B52" s="2" t="s">
        <v>125</v>
      </c>
      <c r="C52" s="24" t="s">
        <v>126</v>
      </c>
      <c r="D52" s="2"/>
    </row>
    <row r="53" spans="1:5" ht="14.25" customHeight="1">
      <c r="A53" s="4">
        <v>1</v>
      </c>
      <c r="B53" s="2" t="s">
        <v>127</v>
      </c>
      <c r="C53" s="2" t="s">
        <v>128</v>
      </c>
      <c r="E53" s="27" t="s">
        <v>129</v>
      </c>
    </row>
    <row r="54" spans="1:5" ht="14.25" customHeight="1">
      <c r="A54" s="4">
        <v>2</v>
      </c>
      <c r="B54" s="2" t="s">
        <v>130</v>
      </c>
      <c r="C54" s="2" t="s">
        <v>71</v>
      </c>
      <c r="D54" s="2" t="s">
        <v>72</v>
      </c>
      <c r="E54" s="28"/>
    </row>
    <row r="55" spans="1:5" ht="14.25" customHeight="1">
      <c r="A55" s="4">
        <v>3</v>
      </c>
      <c r="B55" s="2" t="s">
        <v>131</v>
      </c>
      <c r="C55" s="2" t="s">
        <v>73</v>
      </c>
      <c r="D55" s="2"/>
      <c r="E55" s="29" t="s">
        <v>132</v>
      </c>
    </row>
    <row r="56" spans="1:5" ht="14.25" customHeight="1">
      <c r="A56" s="4">
        <v>4</v>
      </c>
      <c r="B56" s="2" t="s">
        <v>133</v>
      </c>
      <c r="C56" s="2" t="s">
        <v>73</v>
      </c>
      <c r="D56" s="2"/>
      <c r="E56" s="28"/>
    </row>
    <row r="57" spans="1:5" ht="14.25" customHeight="1">
      <c r="A57" s="4">
        <v>5</v>
      </c>
      <c r="B57" s="2" t="s">
        <v>134</v>
      </c>
      <c r="C57" s="2" t="s">
        <v>73</v>
      </c>
      <c r="D57" s="2"/>
      <c r="E57" s="28"/>
    </row>
    <row r="58" spans="1:5" ht="14.25" customHeight="1">
      <c r="A58" s="4">
        <v>6</v>
      </c>
      <c r="B58" s="2" t="s">
        <v>135</v>
      </c>
      <c r="C58" s="2" t="s">
        <v>75</v>
      </c>
      <c r="D58" s="2" t="s">
        <v>76</v>
      </c>
      <c r="E58" s="30"/>
    </row>
    <row r="59" spans="1:5" ht="14.25" customHeight="1">
      <c r="A59" s="4">
        <v>7</v>
      </c>
      <c r="B59" s="2" t="s">
        <v>136</v>
      </c>
      <c r="C59" s="2" t="s">
        <v>75</v>
      </c>
      <c r="E59" s="30" t="s">
        <v>137</v>
      </c>
    </row>
    <row r="60" spans="1:5" ht="14.25" customHeight="1">
      <c r="A60" s="4">
        <v>8</v>
      </c>
      <c r="B60" s="2" t="s">
        <v>138</v>
      </c>
      <c r="C60" s="2" t="s">
        <v>75</v>
      </c>
      <c r="E60" s="28"/>
    </row>
    <row r="61" spans="1:5" ht="14.25" customHeight="1">
      <c r="A61" s="4">
        <v>9</v>
      </c>
      <c r="B61" s="2" t="s">
        <v>139</v>
      </c>
      <c r="C61" s="2" t="s">
        <v>79</v>
      </c>
      <c r="D61" s="2" t="s">
        <v>80</v>
      </c>
      <c r="E61" s="29" t="s">
        <v>140</v>
      </c>
    </row>
    <row r="62" spans="1:5" ht="14.25" customHeight="1">
      <c r="A62" s="4">
        <v>10</v>
      </c>
      <c r="B62" s="2" t="s">
        <v>141</v>
      </c>
      <c r="C62" s="2" t="s">
        <v>79</v>
      </c>
      <c r="E62" s="28"/>
    </row>
    <row r="63" spans="1:5" ht="14.25" customHeight="1">
      <c r="A63" s="4">
        <v>11</v>
      </c>
      <c r="B63" s="2" t="s">
        <v>142</v>
      </c>
      <c r="C63" s="2" t="s">
        <v>79</v>
      </c>
      <c r="E63" s="28"/>
    </row>
    <row r="64" spans="1:5" ht="14.25" customHeight="1">
      <c r="A64" s="4">
        <v>12</v>
      </c>
      <c r="B64" s="2" t="s">
        <v>143</v>
      </c>
      <c r="C64" s="2" t="s">
        <v>79</v>
      </c>
      <c r="D64" s="2"/>
      <c r="E64" s="30"/>
    </row>
    <row r="65" spans="1:5" ht="14.25" customHeight="1">
      <c r="A65" s="4">
        <v>13</v>
      </c>
      <c r="B65" s="2" t="s">
        <v>144</v>
      </c>
      <c r="C65" s="2" t="s">
        <v>85</v>
      </c>
      <c r="D65" s="2" t="s">
        <v>86</v>
      </c>
      <c r="E65" s="31" t="s">
        <v>145</v>
      </c>
    </row>
    <row r="66" spans="1:5" ht="14.25" customHeight="1">
      <c r="A66" s="4">
        <v>14</v>
      </c>
      <c r="B66" s="2" t="s">
        <v>146</v>
      </c>
      <c r="C66" s="2" t="s">
        <v>85</v>
      </c>
      <c r="E66" s="30"/>
    </row>
    <row r="67" spans="1:5" ht="14.25" customHeight="1">
      <c r="A67" s="4">
        <v>15</v>
      </c>
      <c r="B67" s="2" t="s">
        <v>147</v>
      </c>
      <c r="C67" s="2" t="s">
        <v>85</v>
      </c>
      <c r="D67" s="2"/>
      <c r="E67" s="31" t="s">
        <v>148</v>
      </c>
    </row>
    <row r="68" spans="1:5" ht="14.25" customHeight="1">
      <c r="A68" s="4">
        <v>16</v>
      </c>
      <c r="B68" s="2" t="s">
        <v>149</v>
      </c>
      <c r="C68" s="2" t="s">
        <v>88</v>
      </c>
      <c r="E68" s="28"/>
    </row>
    <row r="69" spans="1:5" ht="14.25" customHeight="1">
      <c r="A69" s="4">
        <v>17</v>
      </c>
      <c r="B69" s="2" t="s">
        <v>150</v>
      </c>
      <c r="C69" s="2" t="s">
        <v>88</v>
      </c>
      <c r="D69" s="2" t="s">
        <v>89</v>
      </c>
      <c r="E69" s="29" t="s">
        <v>151</v>
      </c>
    </row>
    <row r="70" spans="1:5" ht="14.25" customHeight="1">
      <c r="A70" s="4">
        <v>18</v>
      </c>
      <c r="B70" s="2" t="s">
        <v>152</v>
      </c>
      <c r="C70" s="2" t="s">
        <v>88</v>
      </c>
      <c r="D70" s="2"/>
      <c r="E70" s="28"/>
    </row>
    <row r="71" spans="1:5" ht="14.25" customHeight="1">
      <c r="A71" s="4">
        <v>19</v>
      </c>
      <c r="B71" s="2" t="s">
        <v>153</v>
      </c>
      <c r="C71" s="2" t="s">
        <v>88</v>
      </c>
      <c r="E71" s="28"/>
    </row>
    <row r="72" spans="1:5" ht="14.25" customHeight="1">
      <c r="A72" s="4">
        <v>20</v>
      </c>
      <c r="B72" s="2" t="s">
        <v>154</v>
      </c>
      <c r="C72" s="2" t="s">
        <v>94</v>
      </c>
      <c r="D72" s="2" t="s">
        <v>92</v>
      </c>
      <c r="E72" s="30"/>
    </row>
    <row r="73" spans="1:5" ht="14.25" customHeight="1">
      <c r="A73" s="4">
        <v>21</v>
      </c>
      <c r="B73" s="2" t="s">
        <v>155</v>
      </c>
      <c r="C73" s="2" t="s">
        <v>96</v>
      </c>
      <c r="D73" s="2" t="s">
        <v>96</v>
      </c>
      <c r="E73" s="30" t="s">
        <v>156</v>
      </c>
    </row>
    <row r="74" spans="1:5" ht="14.25" customHeight="1">
      <c r="A74" s="4">
        <v>22</v>
      </c>
      <c r="B74" s="2" t="s">
        <v>157</v>
      </c>
      <c r="C74" s="2" t="s">
        <v>98</v>
      </c>
      <c r="D74" s="2" t="s">
        <v>99</v>
      </c>
      <c r="E74" s="30"/>
    </row>
    <row r="75" spans="1:5" ht="14.25" customHeight="1">
      <c r="A75" s="4">
        <v>23</v>
      </c>
      <c r="B75" s="2" t="s">
        <v>158</v>
      </c>
      <c r="C75" t="s">
        <v>159</v>
      </c>
      <c r="E75" s="30" t="s">
        <v>160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0b8942-2be9-402b-9246-b972b4d713eb">
      <Terms xmlns="http://schemas.microsoft.com/office/infopath/2007/PartnerControls"/>
    </lcf76f155ced4ddcb4097134ff3c332f>
    <TaxCatchAll xmlns="8641c311-e392-49f0-94ad-976f2c938aeb" xsi:nil="true"/>
    <DateandTime xmlns="850b8942-2be9-402b-9246-b972b4d713eb" xsi:nil="true"/>
    <Number xmlns="850b8942-2be9-402b-9246-b972b4d713e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BF812731E689408DB459D2BCDA9606" ma:contentTypeVersion="18" ma:contentTypeDescription="Create a new document." ma:contentTypeScope="" ma:versionID="981186d3af60c140ba60fd3b90715bae">
  <xsd:schema xmlns:xsd="http://www.w3.org/2001/XMLSchema" xmlns:xs="http://www.w3.org/2001/XMLSchema" xmlns:p="http://schemas.microsoft.com/office/2006/metadata/properties" xmlns:ns2="850b8942-2be9-402b-9246-b972b4d713eb" xmlns:ns3="8641c311-e392-49f0-94ad-976f2c938aeb" targetNamespace="http://schemas.microsoft.com/office/2006/metadata/properties" ma:root="true" ma:fieldsID="45cf86686b5131580fb2664bb9623cc5" ns2:_="" ns3:_="">
    <xsd:import namespace="850b8942-2be9-402b-9246-b972b4d713eb"/>
    <xsd:import namespace="8641c311-e392-49f0-94ad-976f2c938a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SearchProperties" minOccurs="0"/>
                <xsd:element ref="ns2:MediaServiceBillingMetadata" minOccurs="0"/>
                <xsd:element ref="ns2:DateandTime" minOccurs="0"/>
                <xsd:element ref="ns2:Numb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0b8942-2be9-402b-9246-b972b4d713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090b037-6668-479e-99aa-586165a7df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DateandTime" ma:index="24" nillable="true" ma:displayName="Date and Time" ma:format="DateOnly" ma:internalName="DateandTime">
      <xsd:simpleType>
        <xsd:restriction base="dms:DateTime"/>
      </xsd:simpleType>
    </xsd:element>
    <xsd:element name="Number" ma:index="25" nillable="true" ma:displayName="Number" ma:format="Dropdown" ma:internalName="Number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41c311-e392-49f0-94ad-976f2c938ae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7aad6fc7-79c3-4516-afd6-4f4508d61bd7}" ma:internalName="TaxCatchAll" ma:showField="CatchAllData" ma:web="8641c311-e392-49f0-94ad-976f2c938a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987A9F-75E8-43AE-85C3-1ECAFB49FFEF}"/>
</file>

<file path=customXml/itemProps2.xml><?xml version="1.0" encoding="utf-8"?>
<ds:datastoreItem xmlns:ds="http://schemas.openxmlformats.org/officeDocument/2006/customXml" ds:itemID="{D4C4C36E-DD08-4C9E-8974-A4491FF6CDC9}"/>
</file>

<file path=customXml/itemProps3.xml><?xml version="1.0" encoding="utf-8"?>
<ds:datastoreItem xmlns:ds="http://schemas.openxmlformats.org/officeDocument/2006/customXml" ds:itemID="{68629881-0F7D-4825-A344-161594EEAF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MacArthur, Jirrah</dc:creator>
  <cp:keywords/>
  <dc:description/>
  <cp:lastModifiedBy/>
  <cp:revision/>
  <dcterms:created xsi:type="dcterms:W3CDTF">2024-12-11T01:32:25Z</dcterms:created>
  <dcterms:modified xsi:type="dcterms:W3CDTF">2026-02-04T07:20:07Z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0x010100D3BF812731E689408DB459D2BCDA9606</vt:lpwstr>
  </property>
  <property fmtid="{D5CDD505-2E9C-101B-9397-08002B2CF9AE}" pid="3" name="MediaServiceImageTags">
    <vt:lpwstr/>
  </property>
</Properties>
</file>