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ngswoodcollege-my.sharepoint.com/personal/macarthur_j_kingswoodcollege_vic_edu_au/Documents/~GPT code projects/Physics Exams/Planner excel template/"/>
    </mc:Choice>
  </mc:AlternateContent>
  <xr:revisionPtr revIDLastSave="0" documentId="8_{7FFD091B-E1B5-47AE-918A-5EAD8084850F}" xr6:coauthVersionLast="47" xr6:coauthVersionMax="47" xr10:uidLastSave="{00000000-0000-0000-0000-000000000000}"/>
  <bookViews>
    <workbookView xWindow="-110" yWindow="-110" windowWidth="18470" windowHeight="12220" xr2:uid="{967C2EFD-1C6E-44F6-A11C-9C748CE58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D28" i="1"/>
  <c r="D27" i="1"/>
  <c r="D26" i="1"/>
  <c r="D25" i="1"/>
  <c r="D24" i="1"/>
  <c r="D23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B3" i="1"/>
  <c r="B4" i="1" s="1"/>
  <c r="B5" i="1" s="1"/>
  <c r="B6" i="1" s="1"/>
  <c r="B7" i="1" s="1"/>
  <c r="B8" i="1" s="1"/>
  <c r="B9" i="1" s="1"/>
  <c r="B10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3" i="1" s="1"/>
  <c r="B24" i="1" s="1"/>
  <c r="B25" i="1" s="1"/>
  <c r="B26" i="1" s="1"/>
  <c r="B27" i="1" s="1"/>
  <c r="B28" i="1" s="1"/>
  <c r="B29" i="1" s="1"/>
  <c r="B30" i="1" s="1"/>
  <c r="B31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D2" i="1"/>
</calcChain>
</file>

<file path=xl/sharedStrings.xml><?xml version="1.0" encoding="utf-8"?>
<sst xmlns="http://schemas.openxmlformats.org/spreadsheetml/2006/main" count="657" uniqueCount="288">
  <si>
    <t>When</t>
  </si>
  <si>
    <t>Week of</t>
  </si>
  <si>
    <t>Periods</t>
  </si>
  <si>
    <t>M</t>
  </si>
  <si>
    <t>T</t>
  </si>
  <si>
    <t>W</t>
  </si>
  <si>
    <t>F</t>
  </si>
  <si>
    <t>Monday</t>
  </si>
  <si>
    <t>Tuesday</t>
  </si>
  <si>
    <t>Wednesday</t>
  </si>
  <si>
    <t>Thursday</t>
  </si>
  <si>
    <t>Friday</t>
  </si>
  <si>
    <t>A</t>
  </si>
  <si>
    <t>No classes</t>
  </si>
  <si>
    <t>Founders Day Assembly</t>
  </si>
  <si>
    <t>Start P4</t>
  </si>
  <si>
    <t>No class</t>
  </si>
  <si>
    <t>1A Kinematics recap</t>
  </si>
  <si>
    <t>1B Forces recap</t>
  </si>
  <si>
    <t>1A [2.5p] Newton's laws</t>
  </si>
  <si>
    <t>1A.1: Apply Newton's first law to draw free-body diagrams and determine if net force acting [1p]</t>
  </si>
  <si>
    <t>B</t>
  </si>
  <si>
    <t>Swim</t>
  </si>
  <si>
    <t>1C Inclined planes</t>
  </si>
  <si>
    <t>1D Connected bodies</t>
  </si>
  <si>
    <t>1E Basic circular motion</t>
  </si>
  <si>
    <t>1F Banked circular motion</t>
  </si>
  <si>
    <t>1A.2: Apply Newton's second law (Fnet = ma) to calculate acceleration or forces [1p]</t>
  </si>
  <si>
    <t>1G Vertical circular motion</t>
  </si>
  <si>
    <t>1H Projectile motion</t>
  </si>
  <si>
    <t>1A.3: Apply Newton's third law to identify action–reaction force pairs [0.5p]</t>
  </si>
  <si>
    <t>1I Momentum and impulse</t>
  </si>
  <si>
    <t>2A Kinetic energy, work and power</t>
  </si>
  <si>
    <t>2B Elastic and inelastic collisions</t>
  </si>
  <si>
    <t>2C Gravitational potential energy</t>
  </si>
  <si>
    <t>1B [5.25p] Circular motion</t>
  </si>
  <si>
    <t>1B.1: Understand centripetal force and acceleration direction in uniform circular motion [0.5p]</t>
  </si>
  <si>
    <t>Chapter 1 review</t>
  </si>
  <si>
    <t>Questions from Chapter 2A B C</t>
  </si>
  <si>
    <t>1B.2: Apply formulas Fnet = mv²/r and a = v²/r for horizontal circular motion [1p]</t>
  </si>
  <si>
    <t>Labour Day</t>
  </si>
  <si>
    <t>2D Strain potential energy</t>
  </si>
  <si>
    <t>2E Vertical spring-mass systems</t>
  </si>
  <si>
    <t>1B.3: Draw free-body diagrams for vehicles on banked tracks [0.5p]</t>
  </si>
  <si>
    <t>U3 AOS1 review</t>
  </si>
  <si>
    <t>Chapter 2 review</t>
  </si>
  <si>
    <t>3A Gravitational fields and forces</t>
  </si>
  <si>
    <t>1B.4: Explain horizontal component of normal force as centripetal force on frictionless banked tracks [0.5p]</t>
  </si>
  <si>
    <t>VCE Formal</t>
  </si>
  <si>
    <t>3B Gravitational potential energy in uniform and non-uniform fields</t>
  </si>
  <si>
    <t>3C Orbital Motion</t>
  </si>
  <si>
    <t>SAC Practice Task</t>
  </si>
  <si>
    <t>1B.5: Apply formula Fnet = mg tan θ for banked circular motion [1p]</t>
  </si>
  <si>
    <t>Aths</t>
  </si>
  <si>
    <t>Good Friday</t>
  </si>
  <si>
    <t>U3 AOS1 SAC TEST</t>
  </si>
  <si>
    <t>Athletics</t>
  </si>
  <si>
    <t>Chapter 3 review</t>
  </si>
  <si>
    <t>1B.6: Draw free-body diagrams for vertical circular motion [0.5p]</t>
  </si>
  <si>
    <t>1B.7: Write equations relating normal/tension force to centripetal force in vertical circular motion [0.75p]</t>
  </si>
  <si>
    <t>Secondary Assembly</t>
  </si>
  <si>
    <t>4A Electric fields</t>
  </si>
  <si>
    <t>4B Magnetic fields</t>
  </si>
  <si>
    <t>4C Magnetic forces on charged particles</t>
  </si>
  <si>
    <t>1B.8: Solve problems using v = 2πr/T and T = 1/f for vertical circular motion [0.5p]</t>
  </si>
  <si>
    <t>4D DC motors</t>
  </si>
  <si>
    <t>ANZAX</t>
  </si>
  <si>
    <t>Chapter 4 review</t>
  </si>
  <si>
    <t>U3 AOS2 review</t>
  </si>
  <si>
    <t>1C [1p] Projectile motion</t>
  </si>
  <si>
    <t>1C.1: Describe projectile flight path and effects of air resistance [0.25p]</t>
  </si>
  <si>
    <t>MOTOR DISASSEMBLY</t>
  </si>
  <si>
    <t>1C.2: Solve projectile motion questions using vertical/horizontal components [0.75p]</t>
  </si>
  <si>
    <t>U3 AOS2 SAC Data Analysis</t>
  </si>
  <si>
    <t>5A EMF and Faraday’s law</t>
  </si>
  <si>
    <t>5B Direction of induced current and Lenz’s law   274</t>
  </si>
  <si>
    <t>2A [4.25p] Work and energy</t>
  </si>
  <si>
    <t>2A.1: Apply formula W = Fs cos θ [0.5p]</t>
  </si>
  <si>
    <t>6A Electricity recap</t>
  </si>
  <si>
    <t>6B Transformers and comparing AC and DC power</t>
  </si>
  <si>
    <t>6C Transmission of power</t>
  </si>
  <si>
    <t>2A.2: Understand work requires force parallel to motion [0.25p]</t>
  </si>
  <si>
    <t>Student free day</t>
  </si>
  <si>
    <t>2A.3: Calculate work as area under force–displacement graph [0.5p]</t>
  </si>
  <si>
    <t>Chapter 6 review</t>
  </si>
  <si>
    <t>AOS3  review</t>
  </si>
  <si>
    <t>2A.4: Understand energy is conserved [0.5p]</t>
  </si>
  <si>
    <t>King's Birthday</t>
  </si>
  <si>
    <t>U3 AOS3 SAC Structured questions</t>
  </si>
  <si>
    <t>7A Waves recap</t>
  </si>
  <si>
    <t>7B Wave interference and path difference</t>
  </si>
  <si>
    <t>7C Standing waves</t>
  </si>
  <si>
    <t>2A.5: Apply formulas for kinetic and gravitational potential energy (Ek = ½mv², Eg = mgΔh) [1p]</t>
  </si>
  <si>
    <t>GAT</t>
  </si>
  <si>
    <t>10-11 exams</t>
  </si>
  <si>
    <t>2A.6: Analyse energy transformations between Ek and Eg [1.5p]</t>
  </si>
  <si>
    <t>HPA</t>
  </si>
  <si>
    <t>7D Diffraction</t>
  </si>
  <si>
    <t>Chapter 7 review</t>
  </si>
  <si>
    <t>2B [3.75p] Momentum and impulse</t>
  </si>
  <si>
    <t>2B.1: Apply formula p = mv for momentum [0.5p]</t>
  </si>
  <si>
    <t>who</t>
  </si>
  <si>
    <t xml:space="preserve">knows </t>
  </si>
  <si>
    <t>what</t>
  </si>
  <si>
    <t>happened</t>
  </si>
  <si>
    <t>here</t>
  </si>
  <si>
    <t>2B.2: Apply conservation of momentum to collisions [1p]</t>
  </si>
  <si>
    <t>2B.3: Determine if collisions are elastic or inelastic [0.75p]</t>
  </si>
  <si>
    <t>5C Alternators and DC generators</t>
  </si>
  <si>
    <t>5D Photovoltaic cells</t>
  </si>
  <si>
    <t>Chapter 5 review</t>
  </si>
  <si>
    <t>2B.4: Apply impulse formula I = Δp = mΔv = FavΔt [0.75p]</t>
  </si>
  <si>
    <t>2B.5: Calculate impulse as area under force–time graph [0.75p]</t>
  </si>
  <si>
    <t xml:space="preserve">X Country </t>
  </si>
  <si>
    <t>8B Young’s double slit experiment</t>
  </si>
  <si>
    <t>8A Electromagnetic waves</t>
  </si>
  <si>
    <t>9A Experimental design of the photoelectric effect</t>
  </si>
  <si>
    <t>9B Changing intensity in the photoelectric effect</t>
  </si>
  <si>
    <t>2C [2.25p] Springs</t>
  </si>
  <si>
    <t>2C.1: Understand spring constant and elastic potential energy from force–extension graphs [0.5p]</t>
  </si>
  <si>
    <t>e</t>
  </si>
  <si>
    <t>9C Changing frequency in the photoelectric effect</t>
  </si>
  <si>
    <t>9D What the photoelectric effect means</t>
  </si>
  <si>
    <t>10A Comparing light and matter</t>
  </si>
  <si>
    <t>10B Absorption and emission spectra</t>
  </si>
  <si>
    <t>2C.2: Apply Hooke's law (F = –kx) and elastic PE formula (Es = ½kx²) [0.5p]</t>
  </si>
  <si>
    <t>11A Special relativity concepts</t>
  </si>
  <si>
    <t>11B Length contraction and time dilation</t>
  </si>
  <si>
    <t>2C.3: Analyse energy transformations in spring systems [0.5p]</t>
  </si>
  <si>
    <t>11C Relativity examples</t>
  </si>
  <si>
    <t>11D Mass-energy</t>
  </si>
  <si>
    <t>2C.4: Describe energy transformations in oscillating springs [0.25p]</t>
  </si>
  <si>
    <t>Chapter 8 review</t>
  </si>
  <si>
    <t>Chapter 10 review</t>
  </si>
  <si>
    <t>Chapter 11 review</t>
  </si>
  <si>
    <t>2C.5: Apply mg = kx for vertical spring equilibrium [0.5p]</t>
  </si>
  <si>
    <t>U4 AOS1 review</t>
  </si>
  <si>
    <t>12A Asking questions, identifying variables, and making predictions</t>
  </si>
  <si>
    <t>12B Scientific conventions</t>
  </si>
  <si>
    <t>U4 AOS1 SAC TEST</t>
  </si>
  <si>
    <t>12C Collecting data</t>
  </si>
  <si>
    <t>3A [2p] Gravity and gravitational fields</t>
  </si>
  <si>
    <t>3A.1: Understand gravitational field direction, shape, and monopole nature [0.5p]</t>
  </si>
  <si>
    <t>12D Representing and analysing data</t>
  </si>
  <si>
    <t>12E Gradients</t>
  </si>
  <si>
    <t>Chapter 12 review</t>
  </si>
  <si>
    <t>3A.2: Understand inverse square law for gravitational fields about point masses [0.5p]</t>
  </si>
  <si>
    <t>Scientific Investigation</t>
  </si>
  <si>
    <t>3A.3: Apply g = GM/r² and Fg = Gm₁m₂/r² [1p]</t>
  </si>
  <si>
    <t>3B [1p] Gravitational potential energy</t>
  </si>
  <si>
    <t>3B.1: Determine GPE changes using Eg = mgΔh [0.5p]</t>
  </si>
  <si>
    <t>12 Val</t>
  </si>
  <si>
    <t>Exam preparation</t>
  </si>
  <si>
    <t>3B.2: Calculate GPE from area under force–distance and field–distance graphs [0.5p]</t>
  </si>
  <si>
    <t>3C [1p] Orbiting satellites</t>
  </si>
  <si>
    <t>3C.1: Apply concepts of Fg and FN for satellites in orbit [0.5p]</t>
  </si>
  <si>
    <t>Cup Weekend</t>
  </si>
  <si>
    <t>3C.2: Model satellite motion using a = v²/r = 4π²r/T² [0.5p]</t>
  </si>
  <si>
    <t>10 11 Exams</t>
  </si>
  <si>
    <t>4A [7p] Electric fields and forces</t>
  </si>
  <si>
    <t>4A.1: Describe electricity using field model [0.5p]</t>
  </si>
  <si>
    <t>4A.2: Compare electric fields (direction, shapes, dipoles/monopoles) [0.5p]</t>
  </si>
  <si>
    <t>VCE Camp</t>
  </si>
  <si>
    <t>4A.3: Describe electric fields about charges (direction and shape) [0.5p]</t>
  </si>
  <si>
    <t>Students Cease</t>
  </si>
  <si>
    <t>4A.4: Use inverse square law for electric field magnitude [0.5p]</t>
  </si>
  <si>
    <t>4A.5: Determine PE changes for point charges in fields (qualitative) [0.75p]</t>
  </si>
  <si>
    <t>4A.6: Identify fields as static/changing, uniform/non-uniform [0.5p]</t>
  </si>
  <si>
    <t>4A.7: Calculate field strength (E = kQ/r² for point charges, E = V/d for parallel plates) [1p]</t>
  </si>
  <si>
    <t>Physics</t>
  </si>
  <si>
    <t>U3AOS1</t>
  </si>
  <si>
    <t>SAC TEST</t>
  </si>
  <si>
    <t>Period 3</t>
  </si>
  <si>
    <t>4A.8: Apply Coulomb's law (F = kq₁q₂/r²) [1p]</t>
  </si>
  <si>
    <t>U3AOS2</t>
  </si>
  <si>
    <t>Structured Questions</t>
  </si>
  <si>
    <t>4A.9: Calculate work done in uniform electric field (W = qV) [0.75p]</t>
  </si>
  <si>
    <t>U3AOS3</t>
  </si>
  <si>
    <t>Data analysis</t>
  </si>
  <si>
    <t>4A.10: Calculate forces on charged particles (F = qE) [1p]</t>
  </si>
  <si>
    <t>U4AOS1</t>
  </si>
  <si>
    <t>4B [5.5p] Magnetic fields and forces</t>
  </si>
  <si>
    <t>4B.1: Describe magnetism using field model [0.5p]</t>
  </si>
  <si>
    <t>U4AOS2</t>
  </si>
  <si>
    <t>SAC Scientific investigation</t>
  </si>
  <si>
    <t>9 Periods</t>
  </si>
  <si>
    <t>4B.2: Compare magnetic fields (shapes, directions, dipoles, uniform/non-uniform) [0.5p]</t>
  </si>
  <si>
    <t>4B.3: Apply vector field model to bar magnets, wires, loops, solenoids [0.75p]</t>
  </si>
  <si>
    <t>4B.4: Describe interaction of two fields (attraction/repulsion) [0.25p]</t>
  </si>
  <si>
    <t>4B.5: Apply force on current-carrying conductor (F = nIlB) [0.75p]</t>
  </si>
  <si>
    <t>4B.6: Explain operation of simple DC motors with split ring commutators [0.75p]</t>
  </si>
  <si>
    <t>4B.7: Investigate effects of current, field, and loops on motor torque (qualitative) [0.5p]</t>
  </si>
  <si>
    <t>4B.8: Analyse magnetic force on charged particles (F = qvB, radius qvB = mv²/r) [1p]</t>
  </si>
  <si>
    <t>4B.9: Model particle accelerators using uniform circular motion [0.5p]</t>
  </si>
  <si>
    <t>5A [2p] Solar panels</t>
  </si>
  <si>
    <t>5A.1: Describe DC voltage production in photovoltaic cells [0.5p]</t>
  </si>
  <si>
    <t>5A.2: Discuss energy transformations in photovoltaic cells [0.5p]</t>
  </si>
  <si>
    <t>5A.3: Describe inverter function (DC to AC conversion) [0.5p]</t>
  </si>
  <si>
    <t>5A.4: Analyse series/parallel connections of photovoltaic panels [0.5p]</t>
  </si>
  <si>
    <t>5B [5p] Generating emf by varying magnetic flux</t>
  </si>
  <si>
    <t>5B.1: Recognise situations producing induced emf (electromagnetic induction) [0.5p]</t>
  </si>
  <si>
    <t>5B.2: Calculate magnetic flux (ΦB = B⊥A) and understand units (Wb) [0.75p]</t>
  </si>
  <si>
    <t>5B.3: Explain electromagnetic induction via changing magnetic flux [1p]</t>
  </si>
  <si>
    <t>5B.4: Apply Faraday's law (ε = −NΔΦ_B/Δt) [1.5p]</t>
  </si>
  <si>
    <t>5B.5: Apply Lenz's law to predict direction of induced emf/current [0.75p]</t>
  </si>
  <si>
    <t>5B.6: Explain induced current requires complete circuit [0.5p]</t>
  </si>
  <si>
    <t>5C [1.75p] DC generators</t>
  </si>
  <si>
    <t>5C.1: Describe operation of simple DC generator with split ring commutator [0.5p]</t>
  </si>
  <si>
    <t>5C.2: Explain role of split ring commutator in producing DC voltage [0.5p]</t>
  </si>
  <si>
    <t>5C.3: Describe shape of DC voltage-time graph [0.25p]</t>
  </si>
  <si>
    <t>5C.4: Compare voltage-time graphs for different numbers of coils [0.5p]</t>
  </si>
  <si>
    <t>5D [1.5p] AC generators with slip rings</t>
  </si>
  <si>
    <t>5D.1: Describe operation of AC generator (alternator) with slip rings [0.5p]</t>
  </si>
  <si>
    <t>5D.2: Explain role of slip rings in producing AC voltage [0.5p]</t>
  </si>
  <si>
    <t>5D.3: Analyse sinusoidal voltage-time graph from AC generator [0.5p]</t>
  </si>
  <si>
    <t>6A [2p] Peak and rms values of AC</t>
  </si>
  <si>
    <t>6A.1: Explain peak and peak-to-peak voltage (Vrms = Vp/√2) [0.75p]</t>
  </si>
  <si>
    <t>6A.2: Explain peak and peak-to-peak current (Irms = Ip/√2) [0.75p]</t>
  </si>
  <si>
    <t>6A.3: Calculate power using AC rms values (P = VrmsIrms = VpIp/2) [0.5p]</t>
  </si>
  <si>
    <t>6B [3p] Transformers</t>
  </si>
  <si>
    <t>6B.1: Recognise transformers transfer power via varying magnetic flux [0.5p]</t>
  </si>
  <si>
    <t>6B.2: Explain transformer operation and step-up/step-down functions [0.5p]</t>
  </si>
  <si>
    <t>6B.3: Understand ideal transformers (Pin = Pout) vs. real transformers [0.5p]</t>
  </si>
  <si>
    <t>6B.4: Apply turns ratio formula (N₁/N₂ = V₁/V₂ = I₂/I₁) [1p]</t>
  </si>
  <si>
    <t>6B.5: Perform calculations with turns ratio, Ohm's law, and power formulas [0.5p]</t>
  </si>
  <si>
    <t>6C [1p] Minimising power transmission losses</t>
  </si>
  <si>
    <t>6C.1: Calculate power loss in wires (P = I²R, E = I²Rt) [0.5p]</t>
  </si>
  <si>
    <t>6C.2: Analyse power losses with/without transformers (Ploss = I²R) [0.5p]</t>
  </si>
  <si>
    <t>7A [5.5p] Wave-like properties of light</t>
  </si>
  <si>
    <t>7A.1: Explain accelerating charges produce electromagnetic waves [0.5p]</t>
  </si>
  <si>
    <t>7A.2: Describe EM waves as perpendicular E and B fields travelling at c [0.5p]</t>
  </si>
  <si>
    <t>7A.3: Explain superposition creates standing waves [0.5p]</t>
  </si>
  <si>
    <t>7A.4: Analyse standing waves (speed, wavelength, nodes, antinodes) [0.75p]</t>
  </si>
  <si>
    <t>7A.5: Explain diffraction with different gap widths and frequencies [0.5p]</t>
  </si>
  <si>
    <t>7A.6: Explain λ/w ratio effect on imaging limitations [0.5p]</t>
  </si>
  <si>
    <t>7A.7: Explain Young's double slit as evidence for wave nature of light [0.75p]</t>
  </si>
  <si>
    <t>7A.8: Explain interference patterns via path differences (nλ and (n+½)λ) [0.75p]</t>
  </si>
  <si>
    <t>7A.9: Apply formula Δx = λL/d for interference patterns [0.75p]</t>
  </si>
  <si>
    <t>7B [1.5p] Particle-like properties of light</t>
  </si>
  <si>
    <t>7B.1: Use formula E = hf = hc/λ for photon energy [0.5p]</t>
  </si>
  <si>
    <t>7B.2: Analyse photoelectric experiments as evidence for particle nature [0.75p]</t>
  </si>
  <si>
    <t>7B.3: Analyse photoelectric graphs (photocurrent vs. potential, KE vs. frequency) [0.25p]</t>
  </si>
  <si>
    <t>8A [2.5p] Matter as particles or waves</t>
  </si>
  <si>
    <t>8A.1: Recognise electron diffraction patterns [0.5p]</t>
  </si>
  <si>
    <t>8A.2: Understand diffraction patterns as evidence for wave nature of matter [0.75p]</t>
  </si>
  <si>
    <t>8A.3: Distinguish photon vs. electron diffraction patterns [0.5p]</t>
  </si>
  <si>
    <t>8A.4: Calculate de Broglie wavelength (λ = h/p) [0.75p]</t>
  </si>
  <si>
    <t>8B [4.25p] Similarities between light and matter</t>
  </si>
  <si>
    <t>8B.1: Discuss quantisation's role in understanding light and atoms [0.5p]</t>
  </si>
  <si>
    <t>8B.2: Calculate photon momentum (p = h/λ) [0.5p]</t>
  </si>
  <si>
    <t>8B.3: Compare photon and matter momentum at same wavelength [0.25p]</t>
  </si>
  <si>
    <t>8B.4: Explain production of atomic emission line spectra [0.5p]</t>
  </si>
  <si>
    <t>8B.5: Explain formation of atomic absorption line spectra [0.5p]</t>
  </si>
  <si>
    <t>8B.6: Calculate photon energy from spectra (ΔE = hc/λ) [0.5p]</t>
  </si>
  <si>
    <t>8B.7: Analyse photon emission/absorption via energy state changes (ΔE = hf) [1p]</t>
  </si>
  <si>
    <t>8B.8: Interpret single photon/electron double slit as evidence for wave-particle duality [0.5p]</t>
  </si>
  <si>
    <t>9A [3p] What is relativity?</t>
  </si>
  <si>
    <t>9A.1: Discuss nature of inertial reference frames [0.5p]</t>
  </si>
  <si>
    <t>9A.2: Identify inertial vs. non-inertial reference frames [0.5p]</t>
  </si>
  <si>
    <t>9A.3: Discuss the idea of relativity [0.5p]</t>
  </si>
  <si>
    <t>9A.4: Recall and apply two postulates of special relativity [0.75p]</t>
  </si>
  <si>
    <t>9A.5: Evaluate Michelson-Morley experiment and null result re: aether [0.5p]</t>
  </si>
  <si>
    <t>9A.6: Compare special relativity vs. classical physics predictions [0.25p]</t>
  </si>
  <si>
    <t>9B [5p] Time dilation and length contraction</t>
  </si>
  <si>
    <t>9B.1: Define proper time (t₀) as time between events at same point in space [0.5p]</t>
  </si>
  <si>
    <t>9B.2: Identify dilated time interval (t) for events at different points [0.5p]</t>
  </si>
  <si>
    <t>9B.3: Understand proper length (L₀) measured when stationary relative to object [0.5p]</t>
  </si>
  <si>
    <t>9B.4: Identify when length interval is proper length [0.25p]</t>
  </si>
  <si>
    <t>9B.5: Recall objects contract only in relative direction of travel [0.25p]</t>
  </si>
  <si>
    <t>9B.6: Apply formulas L = L₀/γ and t = t₀γ to various situations [1.5p]</t>
  </si>
  <si>
    <t>9B.7: Explain particle accelerator design must account for length contraction [0.5p]</t>
  </si>
  <si>
    <t>9B.8: Explain GPS satellite time corrections for special relativity [0.5p]</t>
  </si>
  <si>
    <t>9B.9: Understand effects of increasing speed on dilated time/contracted length [0.5p]</t>
  </si>
  <si>
    <t>9C [1p] Muon decay</t>
  </si>
  <si>
    <t>9C.1: Explain muon half-life dilation from Earth reference frame [0.5p]</t>
  </si>
  <si>
    <t>9C.2: Explain length contraction from muon reference frame [0.5p]</t>
  </si>
  <si>
    <t>9D [2.5p] Mass and energy equivalence</t>
  </si>
  <si>
    <t>9D.1: Understand mass-energy equivalence (E = mc²) [0.5p]</t>
  </si>
  <si>
    <t>9D.2: Apply total energy (Etot = γmc²), rest energy (E₀ = mc²), KE formulas (Ek = (γ–1)mc²) [1p]</t>
  </si>
  <si>
    <t>9D.3: Apply ΔE = Δmc² to nuclear reactions and particle accelerators [0.5p]</t>
  </si>
  <si>
    <t>9D.4: Understand particle accelerators can produce new elements [0.25p]</t>
  </si>
  <si>
    <t>9D.5: Plot and interpret Lorentz factor (γ) vs. speed [0.25p]</t>
  </si>
  <si>
    <t>Teach</t>
  </si>
  <si>
    <t>Study</t>
  </si>
  <si>
    <t>Assess</t>
  </si>
  <si>
    <t>Investigation</t>
  </si>
  <si>
    <t>Exam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</si>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</sst>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"/>
    <numFmt numFmtId="165" formatCode="&quot; &quot;ddd&quot; &quot;d&quot; &quot;mmm"/>
    <numFmt numFmtId="166" formatCode="ddd\ d\ mmmm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i/>
      <sz val="11"/>
      <color rgb="FF0000FF"/>
      <name val="Arial Narrow"/>
      <family val="2"/>
    </font>
    <font>
      <sz val="11"/>
      <color rgb="FF7F6000"/>
      <name val="Arial Narrow"/>
      <family val="2"/>
    </font>
  </fonts>
  <fills count="22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theme="1" tint="0.499984740745262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164" fontId="2" fillId="2" borderId="0" xfId="0" applyNumberFormat="1" applyFont="1" applyFill="1" applyAlignment="1">
      <alignment vertical="center" wrapText="1"/>
    </xf>
    <xf numFmtId="165" fontId="2" fillId="2" borderId="0" xfId="0" applyNumberFormat="1" applyFont="1" applyFill="1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4" fillId="6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 applyAlignment="1">
      <alignment vertical="center" wrapText="1"/>
    </xf>
    <xf numFmtId="165" fontId="2" fillId="12" borderId="0" xfId="0" applyNumberFormat="1" applyFont="1" applyFill="1" applyAlignment="1">
      <alignment vertical="center" wrapText="1"/>
    </xf>
    <xf numFmtId="0" fontId="2" fillId="13" borderId="0" xfId="0" applyFont="1" applyFill="1"/>
    <xf numFmtId="0" fontId="2" fillId="13" borderId="0" xfId="0" applyFont="1" applyFill="1" applyAlignment="1">
      <alignment horizontal="left"/>
    </xf>
    <xf numFmtId="164" fontId="2" fillId="14" borderId="0" xfId="0" applyNumberFormat="1" applyFont="1" applyFill="1" applyAlignment="1">
      <alignment vertical="center" wrapText="1"/>
    </xf>
    <xf numFmtId="165" fontId="2" fillId="8" borderId="0" xfId="0" applyNumberFormat="1" applyFont="1" applyFill="1" applyAlignment="1">
      <alignment vertical="center" wrapText="1"/>
    </xf>
    <xf numFmtId="165" fontId="2" fillId="14" borderId="0" xfId="0" applyNumberFormat="1" applyFont="1" applyFill="1" applyAlignment="1">
      <alignment vertical="center" wrapText="1"/>
    </xf>
    <xf numFmtId="0" fontId="2" fillId="15" borderId="0" xfId="0" applyFont="1" applyFill="1"/>
    <xf numFmtId="0" fontId="2" fillId="16" borderId="0" xfId="0" applyFont="1" applyFill="1"/>
    <xf numFmtId="0" fontId="2" fillId="17" borderId="0" xfId="0" applyFont="1" applyFill="1" applyAlignment="1">
      <alignment vertical="center" wrapText="1"/>
    </xf>
    <xf numFmtId="165" fontId="2" fillId="17" borderId="0" xfId="0" applyNumberFormat="1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0" fontId="1" fillId="0" borderId="0" xfId="0" applyFont="1" applyAlignment="1">
      <alignment horizontal="center"/>
    </xf>
    <xf numFmtId="0" fontId="5" fillId="16" borderId="0" xfId="0" applyFont="1" applyFill="1"/>
    <xf numFmtId="0" fontId="2" fillId="18" borderId="0" xfId="0" applyFont="1" applyFill="1"/>
    <xf numFmtId="0" fontId="2" fillId="19" borderId="0" xfId="0" applyFont="1" applyFill="1"/>
    <xf numFmtId="164" fontId="1" fillId="14" borderId="0" xfId="0" applyNumberFormat="1" applyFont="1" applyFill="1" applyAlignment="1">
      <alignment vertical="center" wrapText="1"/>
    </xf>
    <xf numFmtId="166" fontId="2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20" borderId="0" xfId="0" applyFont="1" applyFill="1"/>
    <xf numFmtId="14" fontId="2" fillId="0" borderId="0" xfId="0" applyNumberFormat="1" applyFont="1"/>
    <xf numFmtId="0" fontId="2" fillId="2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8756-D2C0-4D36-96FE-28B362306EC5}">
  <dimension ref="A1:AA1000"/>
  <sheetViews>
    <sheetView tabSelected="1" topLeftCell="C13" workbookViewId="0">
      <selection activeCell="W34" sqref="W34"/>
    </sheetView>
  </sheetViews>
  <sheetFormatPr defaultColWidth="14.42578125" defaultRowHeight="16.5" x14ac:dyDescent="0.3"/>
  <cols>
    <col min="1" max="1" width="6.28515625" style="5" customWidth="1"/>
    <col min="2" max="2" width="12" style="5" customWidth="1"/>
    <col min="3" max="3" width="2.42578125" style="5" customWidth="1"/>
    <col min="4" max="4" width="7.7109375" style="5" bestFit="1" customWidth="1"/>
    <col min="5" max="9" width="6" style="5" customWidth="1"/>
    <col min="10" max="10" width="4.28515625" style="5" customWidth="1"/>
    <col min="11" max="12" width="18.85546875" style="5" customWidth="1"/>
    <col min="13" max="13" width="8.7109375" style="5" bestFit="1" customWidth="1"/>
    <col min="14" max="14" width="18.85546875" style="5" customWidth="1"/>
    <col min="15" max="15" width="7.7109375" style="5" bestFit="1" customWidth="1"/>
    <col min="16" max="17" width="18.85546875" style="5" customWidth="1"/>
    <col min="18" max="22" width="28" style="5" hidden="1" customWidth="1"/>
    <col min="23" max="23" width="11" style="5" customWidth="1"/>
    <col min="24" max="24" width="35.42578125" style="5" bestFit="1" customWidth="1"/>
    <col min="25" max="25" width="77.42578125" style="5" bestFit="1" customWidth="1"/>
    <col min="26" max="16384" width="14.42578125" style="5"/>
  </cols>
  <sheetData>
    <row r="1" spans="1:25" x14ac:dyDescent="0.3">
      <c r="A1" s="1" t="s">
        <v>0</v>
      </c>
      <c r="B1" s="2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4</v>
      </c>
      <c r="I1" s="1" t="s">
        <v>6</v>
      </c>
      <c r="J1" s="1"/>
      <c r="K1" s="1" t="s">
        <v>7</v>
      </c>
      <c r="L1" s="3" t="s">
        <v>7</v>
      </c>
      <c r="M1" s="3" t="s">
        <v>8</v>
      </c>
      <c r="N1" s="3" t="s">
        <v>9</v>
      </c>
      <c r="O1" s="3" t="s">
        <v>10</v>
      </c>
      <c r="P1" s="1" t="s">
        <v>11</v>
      </c>
      <c r="Q1" s="1" t="s">
        <v>11</v>
      </c>
      <c r="R1" s="1" t="s">
        <v>7</v>
      </c>
      <c r="S1" s="3" t="s">
        <v>7</v>
      </c>
      <c r="T1" s="3" t="s">
        <v>9</v>
      </c>
      <c r="U1" s="1" t="s">
        <v>11</v>
      </c>
      <c r="V1" s="1" t="s">
        <v>11</v>
      </c>
      <c r="W1" s="1"/>
      <c r="X1" s="4"/>
    </row>
    <row r="2" spans="1:25" x14ac:dyDescent="0.3">
      <c r="A2" s="6">
        <v>44927</v>
      </c>
      <c r="B2" s="7">
        <v>46055</v>
      </c>
      <c r="C2" s="8" t="s">
        <v>12</v>
      </c>
      <c r="D2" s="9">
        <f t="shared" ref="D2:D21" si="0">SUM(E2:I2)</f>
        <v>2</v>
      </c>
      <c r="E2" s="10" t="s">
        <v>13</v>
      </c>
      <c r="F2" s="11" t="s">
        <v>14</v>
      </c>
      <c r="G2" s="12">
        <v>1</v>
      </c>
      <c r="H2" s="12"/>
      <c r="I2" s="12">
        <v>1</v>
      </c>
      <c r="K2" s="10" t="s">
        <v>13</v>
      </c>
      <c r="L2" s="10" t="s">
        <v>13</v>
      </c>
      <c r="M2" s="10" t="s">
        <v>15</v>
      </c>
      <c r="N2" s="5" t="s">
        <v>282</v>
      </c>
      <c r="P2" s="5" t="s">
        <v>282</v>
      </c>
      <c r="Q2" s="5" t="s">
        <v>16</v>
      </c>
      <c r="S2" s="13"/>
      <c r="T2" s="13"/>
      <c r="U2" s="14" t="s">
        <v>17</v>
      </c>
      <c r="V2" s="14" t="s">
        <v>18</v>
      </c>
      <c r="W2" s="5">
        <v>1</v>
      </c>
      <c r="X2" s="15" t="s">
        <v>19</v>
      </c>
      <c r="Y2" s="15" t="s">
        <v>20</v>
      </c>
    </row>
    <row r="3" spans="1:25" x14ac:dyDescent="0.3">
      <c r="A3" s="6">
        <v>44928</v>
      </c>
      <c r="B3" s="7">
        <f t="shared" ref="B3:B10" si="1">B2+7</f>
        <v>46062</v>
      </c>
      <c r="C3" s="8" t="s">
        <v>21</v>
      </c>
      <c r="D3" s="9">
        <f t="shared" si="0"/>
        <v>5</v>
      </c>
      <c r="E3" s="12">
        <v>2</v>
      </c>
      <c r="F3" s="10" t="s">
        <v>22</v>
      </c>
      <c r="G3" s="12">
        <v>1</v>
      </c>
      <c r="H3" s="12"/>
      <c r="I3" s="12">
        <v>2</v>
      </c>
      <c r="K3" s="5" t="s">
        <v>282</v>
      </c>
      <c r="L3" s="5" t="s">
        <v>282</v>
      </c>
      <c r="M3" s="10" t="s">
        <v>22</v>
      </c>
      <c r="N3" s="5" t="s">
        <v>283</v>
      </c>
      <c r="P3" s="5" t="s">
        <v>282</v>
      </c>
      <c r="Q3" s="5" t="s">
        <v>282</v>
      </c>
      <c r="R3" s="14" t="s">
        <v>23</v>
      </c>
      <c r="S3" s="14" t="s">
        <v>24</v>
      </c>
      <c r="T3" s="14" t="s">
        <v>25</v>
      </c>
      <c r="U3" s="14" t="s">
        <v>25</v>
      </c>
      <c r="V3" s="14" t="s">
        <v>26</v>
      </c>
      <c r="W3" s="5">
        <v>2</v>
      </c>
      <c r="X3" s="15" t="s">
        <v>19</v>
      </c>
      <c r="Y3" s="15" t="s">
        <v>27</v>
      </c>
    </row>
    <row r="4" spans="1:25" ht="16.5" customHeight="1" x14ac:dyDescent="0.3">
      <c r="A4" s="6">
        <v>44929</v>
      </c>
      <c r="B4" s="7">
        <f t="shared" si="1"/>
        <v>46069</v>
      </c>
      <c r="C4" s="8" t="s">
        <v>12</v>
      </c>
      <c r="D4" s="9">
        <f t="shared" si="0"/>
        <v>4</v>
      </c>
      <c r="E4" s="12">
        <v>2</v>
      </c>
      <c r="F4" s="12"/>
      <c r="G4" s="12">
        <v>1</v>
      </c>
      <c r="H4" s="12"/>
      <c r="I4" s="12">
        <v>1</v>
      </c>
      <c r="K4" s="5" t="s">
        <v>282</v>
      </c>
      <c r="L4" s="5" t="s">
        <v>282</v>
      </c>
      <c r="N4" s="5" t="s">
        <v>282</v>
      </c>
      <c r="P4" s="5" t="s">
        <v>283</v>
      </c>
      <c r="Q4" s="5" t="s">
        <v>16</v>
      </c>
      <c r="R4" s="14" t="s">
        <v>26</v>
      </c>
      <c r="S4" s="14" t="s">
        <v>28</v>
      </c>
      <c r="T4" s="16"/>
      <c r="U4" s="14" t="s">
        <v>28</v>
      </c>
      <c r="V4" s="14" t="s">
        <v>29</v>
      </c>
      <c r="W4" s="5">
        <v>3</v>
      </c>
      <c r="X4" s="15" t="s">
        <v>19</v>
      </c>
      <c r="Y4" s="15" t="s">
        <v>30</v>
      </c>
    </row>
    <row r="5" spans="1:25" x14ac:dyDescent="0.3">
      <c r="A5" s="6">
        <v>44930</v>
      </c>
      <c r="B5" s="7">
        <f t="shared" si="1"/>
        <v>46076</v>
      </c>
      <c r="C5" s="8" t="s">
        <v>21</v>
      </c>
      <c r="D5" s="9">
        <f t="shared" si="0"/>
        <v>5</v>
      </c>
      <c r="E5" s="17">
        <v>2</v>
      </c>
      <c r="F5" s="17"/>
      <c r="G5" s="17">
        <v>1</v>
      </c>
      <c r="H5" s="17"/>
      <c r="I5" s="17">
        <v>2</v>
      </c>
      <c r="J5" s="18"/>
      <c r="K5" s="5" t="s">
        <v>282</v>
      </c>
      <c r="L5" s="5" t="s">
        <v>282</v>
      </c>
      <c r="M5" s="18"/>
      <c r="N5" s="5" t="s">
        <v>283</v>
      </c>
      <c r="O5" s="18"/>
      <c r="P5" s="5" t="s">
        <v>282</v>
      </c>
      <c r="Q5" s="5" t="s">
        <v>282</v>
      </c>
      <c r="R5" s="14" t="s">
        <v>29</v>
      </c>
      <c r="S5" s="14" t="s">
        <v>31</v>
      </c>
      <c r="T5" s="14" t="s">
        <v>32</v>
      </c>
      <c r="U5" s="14" t="s">
        <v>33</v>
      </c>
      <c r="V5" s="14" t="s">
        <v>34</v>
      </c>
      <c r="W5" s="5">
        <v>4</v>
      </c>
      <c r="X5" s="15" t="s">
        <v>35</v>
      </c>
      <c r="Y5" s="15" t="s">
        <v>36</v>
      </c>
    </row>
    <row r="6" spans="1:25" x14ac:dyDescent="0.3">
      <c r="A6" s="6">
        <v>44931</v>
      </c>
      <c r="B6" s="7">
        <f t="shared" si="1"/>
        <v>46083</v>
      </c>
      <c r="C6" s="8" t="s">
        <v>12</v>
      </c>
      <c r="D6" s="9">
        <f t="shared" si="0"/>
        <v>4</v>
      </c>
      <c r="E6" s="12">
        <v>2</v>
      </c>
      <c r="F6" s="12"/>
      <c r="G6" s="12">
        <v>1</v>
      </c>
      <c r="H6" s="12"/>
      <c r="I6" s="12">
        <v>1</v>
      </c>
      <c r="K6" s="5" t="s">
        <v>282</v>
      </c>
      <c r="L6" s="5" t="s">
        <v>282</v>
      </c>
      <c r="N6" s="5" t="s">
        <v>282</v>
      </c>
      <c r="P6" s="5" t="s">
        <v>283</v>
      </c>
      <c r="Q6" s="5" t="s">
        <v>16</v>
      </c>
      <c r="R6" s="14" t="s">
        <v>37</v>
      </c>
      <c r="S6" s="14" t="s">
        <v>37</v>
      </c>
      <c r="T6" s="16"/>
      <c r="U6" s="19" t="s">
        <v>38</v>
      </c>
      <c r="V6" s="19"/>
      <c r="W6" s="5">
        <v>5</v>
      </c>
      <c r="X6" s="15" t="s">
        <v>35</v>
      </c>
      <c r="Y6" s="15" t="s">
        <v>39</v>
      </c>
    </row>
    <row r="7" spans="1:25" x14ac:dyDescent="0.3">
      <c r="A7" s="6">
        <v>44932</v>
      </c>
      <c r="B7" s="7">
        <f t="shared" si="1"/>
        <v>46090</v>
      </c>
      <c r="C7" s="8" t="s">
        <v>21</v>
      </c>
      <c r="D7" s="9">
        <f t="shared" si="0"/>
        <v>3</v>
      </c>
      <c r="E7" s="10" t="s">
        <v>40</v>
      </c>
      <c r="F7" s="12"/>
      <c r="G7" s="17">
        <v>1</v>
      </c>
      <c r="H7" s="17"/>
      <c r="I7" s="17">
        <v>2</v>
      </c>
      <c r="K7" s="10" t="s">
        <v>40</v>
      </c>
      <c r="L7" s="10" t="s">
        <v>40</v>
      </c>
      <c r="M7" s="12"/>
      <c r="N7" s="5" t="s">
        <v>283</v>
      </c>
      <c r="P7" s="5" t="s">
        <v>282</v>
      </c>
      <c r="Q7" s="5" t="s">
        <v>282</v>
      </c>
      <c r="R7" s="14" t="s">
        <v>34</v>
      </c>
      <c r="S7" s="14" t="s">
        <v>41</v>
      </c>
      <c r="T7" s="14" t="s">
        <v>41</v>
      </c>
      <c r="U7" s="14" t="s">
        <v>42</v>
      </c>
      <c r="V7" s="14" t="s">
        <v>42</v>
      </c>
      <c r="W7" s="5">
        <v>6</v>
      </c>
      <c r="X7" s="15" t="s">
        <v>35</v>
      </c>
      <c r="Y7" s="15" t="s">
        <v>43</v>
      </c>
    </row>
    <row r="8" spans="1:25" x14ac:dyDescent="0.3">
      <c r="A8" s="6">
        <v>44933</v>
      </c>
      <c r="B8" s="7">
        <f t="shared" si="1"/>
        <v>46097</v>
      </c>
      <c r="C8" s="8" t="s">
        <v>12</v>
      </c>
      <c r="D8" s="9">
        <f t="shared" si="0"/>
        <v>4</v>
      </c>
      <c r="E8" s="12">
        <v>2</v>
      </c>
      <c r="F8" s="12"/>
      <c r="G8" s="12">
        <v>1</v>
      </c>
      <c r="H8" s="12"/>
      <c r="I8" s="12">
        <v>1</v>
      </c>
      <c r="K8" s="5" t="s">
        <v>282</v>
      </c>
      <c r="L8" s="5" t="s">
        <v>282</v>
      </c>
      <c r="N8" s="5" t="s">
        <v>282</v>
      </c>
      <c r="P8" s="5" t="s">
        <v>283</v>
      </c>
      <c r="Q8" s="5" t="s">
        <v>16</v>
      </c>
      <c r="R8" s="14" t="s">
        <v>45</v>
      </c>
      <c r="S8" s="14" t="s">
        <v>44</v>
      </c>
      <c r="T8" s="16"/>
      <c r="U8" s="20" t="s">
        <v>46</v>
      </c>
      <c r="V8" s="20" t="s">
        <v>46</v>
      </c>
      <c r="W8" s="5">
        <v>7</v>
      </c>
      <c r="X8" s="15" t="s">
        <v>35</v>
      </c>
      <c r="Y8" s="15" t="s">
        <v>47</v>
      </c>
    </row>
    <row r="9" spans="1:25" x14ac:dyDescent="0.3">
      <c r="A9" s="6">
        <v>44934</v>
      </c>
      <c r="B9" s="7">
        <f t="shared" si="1"/>
        <v>46104</v>
      </c>
      <c r="C9" s="8" t="s">
        <v>21</v>
      </c>
      <c r="D9" s="9">
        <f t="shared" si="0"/>
        <v>3</v>
      </c>
      <c r="E9" s="12">
        <v>2</v>
      </c>
      <c r="F9" s="12"/>
      <c r="G9" s="12">
        <v>1</v>
      </c>
      <c r="H9" s="12"/>
      <c r="I9" s="10" t="s">
        <v>48</v>
      </c>
      <c r="K9" s="5" t="s">
        <v>282</v>
      </c>
      <c r="L9" s="5" t="s">
        <v>282</v>
      </c>
      <c r="N9" s="5" t="s">
        <v>283</v>
      </c>
      <c r="P9" s="10" t="s">
        <v>48</v>
      </c>
      <c r="Q9" s="10" t="s">
        <v>48</v>
      </c>
      <c r="R9" s="20" t="s">
        <v>49</v>
      </c>
      <c r="S9" s="20" t="s">
        <v>49</v>
      </c>
      <c r="T9" s="20" t="s">
        <v>50</v>
      </c>
      <c r="U9" s="20" t="s">
        <v>50</v>
      </c>
      <c r="V9" s="14" t="s">
        <v>51</v>
      </c>
      <c r="W9" s="5">
        <v>8</v>
      </c>
      <c r="X9" s="15" t="s">
        <v>35</v>
      </c>
      <c r="Y9" s="15" t="s">
        <v>52</v>
      </c>
    </row>
    <row r="10" spans="1:25" x14ac:dyDescent="0.3">
      <c r="A10" s="6">
        <v>44935</v>
      </c>
      <c r="B10" s="7">
        <f t="shared" si="1"/>
        <v>46111</v>
      </c>
      <c r="C10" s="8" t="s">
        <v>12</v>
      </c>
      <c r="D10" s="9">
        <f t="shared" si="0"/>
        <v>3</v>
      </c>
      <c r="E10" s="12">
        <v>2</v>
      </c>
      <c r="F10" s="10" t="s">
        <v>53</v>
      </c>
      <c r="G10" s="12">
        <v>1</v>
      </c>
      <c r="H10" s="12"/>
      <c r="I10" s="10" t="s">
        <v>54</v>
      </c>
      <c r="K10" s="5" t="s">
        <v>284</v>
      </c>
      <c r="L10" s="5" t="s">
        <v>284</v>
      </c>
      <c r="M10" s="10" t="s">
        <v>53</v>
      </c>
      <c r="N10" s="5" t="s">
        <v>282</v>
      </c>
      <c r="P10" s="10" t="s">
        <v>54</v>
      </c>
      <c r="Q10" s="10" t="s">
        <v>54</v>
      </c>
      <c r="R10" s="21" t="s">
        <v>56</v>
      </c>
      <c r="S10" s="22" t="s">
        <v>55</v>
      </c>
      <c r="T10" s="16"/>
      <c r="U10" s="20" t="s">
        <v>57</v>
      </c>
      <c r="V10" s="20" t="s">
        <v>57</v>
      </c>
      <c r="W10" s="5">
        <v>9</v>
      </c>
      <c r="X10" s="15" t="s">
        <v>35</v>
      </c>
      <c r="Y10" s="15" t="s">
        <v>58</v>
      </c>
    </row>
    <row r="11" spans="1:25" x14ac:dyDescent="0.3">
      <c r="A11" s="23"/>
      <c r="B11" s="24"/>
      <c r="C11" s="25"/>
      <c r="D11" s="26">
        <f t="shared" si="0"/>
        <v>0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W11" s="5">
        <v>10</v>
      </c>
      <c r="X11" s="15" t="s">
        <v>35</v>
      </c>
      <c r="Y11" s="15" t="s">
        <v>59</v>
      </c>
    </row>
    <row r="12" spans="1:25" x14ac:dyDescent="0.3">
      <c r="A12" s="27">
        <v>44958</v>
      </c>
      <c r="B12" s="28">
        <f>B10+21</f>
        <v>46132</v>
      </c>
      <c r="C12" s="8" t="s">
        <v>21</v>
      </c>
      <c r="D12" s="9">
        <f t="shared" si="0"/>
        <v>3</v>
      </c>
      <c r="E12" s="10" t="s">
        <v>60</v>
      </c>
      <c r="F12" s="12"/>
      <c r="G12" s="12">
        <v>1</v>
      </c>
      <c r="H12" s="12"/>
      <c r="I12" s="12">
        <v>2</v>
      </c>
      <c r="K12" s="10" t="s">
        <v>60</v>
      </c>
      <c r="L12" s="12"/>
      <c r="M12" s="12"/>
      <c r="N12" s="12"/>
      <c r="O12" s="12"/>
      <c r="P12" s="12"/>
      <c r="Q12" s="12"/>
      <c r="R12" s="20" t="s">
        <v>61</v>
      </c>
      <c r="S12" s="20" t="s">
        <v>61</v>
      </c>
      <c r="T12" s="20" t="s">
        <v>62</v>
      </c>
      <c r="U12" s="20" t="s">
        <v>62</v>
      </c>
      <c r="V12" s="20" t="s">
        <v>63</v>
      </c>
      <c r="W12" s="5">
        <v>11</v>
      </c>
      <c r="X12" s="15" t="s">
        <v>35</v>
      </c>
      <c r="Y12" s="15" t="s">
        <v>64</v>
      </c>
    </row>
    <row r="13" spans="1:25" x14ac:dyDescent="0.3">
      <c r="A13" s="27">
        <v>44959</v>
      </c>
      <c r="B13" s="29">
        <f t="shared" ref="B13:B21" si="2">B12+7</f>
        <v>46139</v>
      </c>
      <c r="C13" s="8" t="s">
        <v>12</v>
      </c>
      <c r="D13" s="9">
        <f t="shared" si="0"/>
        <v>4</v>
      </c>
      <c r="E13" s="12">
        <v>2</v>
      </c>
      <c r="F13" s="12"/>
      <c r="G13" s="12">
        <v>1</v>
      </c>
      <c r="H13" s="12"/>
      <c r="I13" s="12">
        <v>1</v>
      </c>
      <c r="K13" s="5" t="s">
        <v>282</v>
      </c>
      <c r="L13" s="5" t="s">
        <v>282</v>
      </c>
      <c r="N13" s="5" t="s">
        <v>282</v>
      </c>
      <c r="P13" s="5" t="s">
        <v>283</v>
      </c>
      <c r="Q13" s="5" t="s">
        <v>16</v>
      </c>
      <c r="R13" s="20" t="s">
        <v>63</v>
      </c>
      <c r="S13" s="20" t="s">
        <v>65</v>
      </c>
      <c r="T13" s="16" t="s">
        <v>66</v>
      </c>
      <c r="U13" s="20" t="s">
        <v>67</v>
      </c>
      <c r="V13" s="20" t="s">
        <v>68</v>
      </c>
      <c r="W13" s="5">
        <v>12</v>
      </c>
      <c r="X13" s="15" t="s">
        <v>69</v>
      </c>
      <c r="Y13" s="15" t="s">
        <v>70</v>
      </c>
    </row>
    <row r="14" spans="1:25" x14ac:dyDescent="0.3">
      <c r="A14" s="27">
        <v>44960</v>
      </c>
      <c r="B14" s="29">
        <f t="shared" si="2"/>
        <v>46146</v>
      </c>
      <c r="C14" s="8" t="s">
        <v>21</v>
      </c>
      <c r="D14" s="9">
        <f t="shared" si="0"/>
        <v>5</v>
      </c>
      <c r="E14" s="12">
        <v>2</v>
      </c>
      <c r="F14" s="12"/>
      <c r="G14" s="12">
        <v>1</v>
      </c>
      <c r="H14" s="12"/>
      <c r="I14" s="12">
        <v>2</v>
      </c>
      <c r="K14" s="5" t="s">
        <v>282</v>
      </c>
      <c r="L14" s="5" t="s">
        <v>282</v>
      </c>
      <c r="M14" s="18"/>
      <c r="N14" s="5" t="s">
        <v>283</v>
      </c>
      <c r="O14" s="18"/>
      <c r="P14" s="5" t="s">
        <v>282</v>
      </c>
      <c r="Q14" s="5" t="s">
        <v>282</v>
      </c>
      <c r="R14" s="20" t="s">
        <v>67</v>
      </c>
      <c r="S14" s="20" t="s">
        <v>65</v>
      </c>
      <c r="T14" s="20" t="s">
        <v>71</v>
      </c>
      <c r="W14" s="5">
        <v>13</v>
      </c>
      <c r="X14" s="15" t="s">
        <v>69</v>
      </c>
      <c r="Y14" s="15" t="s">
        <v>72</v>
      </c>
    </row>
    <row r="15" spans="1:25" x14ac:dyDescent="0.3">
      <c r="A15" s="27">
        <v>44961</v>
      </c>
      <c r="B15" s="29">
        <f t="shared" si="2"/>
        <v>46153</v>
      </c>
      <c r="C15" s="8" t="s">
        <v>12</v>
      </c>
      <c r="D15" s="9">
        <f t="shared" si="0"/>
        <v>4</v>
      </c>
      <c r="E15" s="12">
        <v>2</v>
      </c>
      <c r="F15" s="12"/>
      <c r="G15" s="12">
        <v>1</v>
      </c>
      <c r="H15" s="12"/>
      <c r="I15" s="12">
        <v>1</v>
      </c>
      <c r="K15" s="5" t="s">
        <v>282</v>
      </c>
      <c r="L15" s="5" t="s">
        <v>282</v>
      </c>
      <c r="N15" s="5" t="s">
        <v>282</v>
      </c>
      <c r="P15" s="5" t="s">
        <v>283</v>
      </c>
      <c r="Q15" s="5" t="s">
        <v>16</v>
      </c>
      <c r="S15" s="22" t="s">
        <v>73</v>
      </c>
      <c r="T15" s="16"/>
      <c r="U15" s="30" t="s">
        <v>74</v>
      </c>
      <c r="V15" s="30" t="s">
        <v>75</v>
      </c>
      <c r="W15" s="5">
        <v>14</v>
      </c>
      <c r="X15" s="15" t="s">
        <v>76</v>
      </c>
      <c r="Y15" s="15" t="s">
        <v>77</v>
      </c>
    </row>
    <row r="16" spans="1:25" x14ac:dyDescent="0.3">
      <c r="A16" s="27">
        <v>44962</v>
      </c>
      <c r="B16" s="29">
        <f t="shared" si="2"/>
        <v>46160</v>
      </c>
      <c r="C16" s="8" t="s">
        <v>21</v>
      </c>
      <c r="D16" s="9">
        <f t="shared" si="0"/>
        <v>5</v>
      </c>
      <c r="E16" s="17">
        <v>2</v>
      </c>
      <c r="F16" s="17"/>
      <c r="G16" s="12">
        <v>1</v>
      </c>
      <c r="H16" s="12"/>
      <c r="I16" s="12">
        <v>2</v>
      </c>
      <c r="K16" s="5" t="s">
        <v>282</v>
      </c>
      <c r="L16" s="5" t="s">
        <v>282</v>
      </c>
      <c r="M16" s="18"/>
      <c r="N16" s="5" t="s">
        <v>283</v>
      </c>
      <c r="O16" s="18"/>
      <c r="P16" s="5" t="s">
        <v>284</v>
      </c>
      <c r="Q16" s="5" t="s">
        <v>284</v>
      </c>
      <c r="R16" s="30" t="s">
        <v>78</v>
      </c>
      <c r="S16" s="30" t="s">
        <v>79</v>
      </c>
      <c r="T16" s="16"/>
      <c r="U16" s="30" t="s">
        <v>79</v>
      </c>
      <c r="V16" s="30" t="s">
        <v>80</v>
      </c>
      <c r="W16" s="5">
        <v>15</v>
      </c>
      <c r="X16" s="15" t="s">
        <v>76</v>
      </c>
      <c r="Y16" s="15" t="s">
        <v>81</v>
      </c>
    </row>
    <row r="17" spans="1:27" x14ac:dyDescent="0.3">
      <c r="A17" s="27">
        <v>44963</v>
      </c>
      <c r="B17" s="29">
        <f t="shared" si="2"/>
        <v>46167</v>
      </c>
      <c r="C17" s="8" t="s">
        <v>12</v>
      </c>
      <c r="D17" s="9">
        <f t="shared" si="0"/>
        <v>3</v>
      </c>
      <c r="E17" s="12">
        <v>2</v>
      </c>
      <c r="F17" s="12"/>
      <c r="G17" s="12">
        <v>1</v>
      </c>
      <c r="H17" s="12"/>
      <c r="I17" s="11" t="s">
        <v>82</v>
      </c>
      <c r="K17" s="5" t="s">
        <v>282</v>
      </c>
      <c r="L17" s="5" t="s">
        <v>282</v>
      </c>
      <c r="N17" s="5" t="s">
        <v>282</v>
      </c>
      <c r="P17" s="11" t="s">
        <v>82</v>
      </c>
      <c r="Q17" s="11" t="s">
        <v>82</v>
      </c>
      <c r="R17" s="30"/>
      <c r="S17" s="30"/>
      <c r="T17" s="30"/>
      <c r="U17" s="30"/>
      <c r="V17" s="30"/>
      <c r="W17" s="5">
        <v>16</v>
      </c>
      <c r="X17" s="15" t="s">
        <v>76</v>
      </c>
      <c r="Y17" s="15" t="s">
        <v>83</v>
      </c>
    </row>
    <row r="18" spans="1:27" x14ac:dyDescent="0.3">
      <c r="A18" s="27">
        <v>44964</v>
      </c>
      <c r="B18" s="29">
        <f t="shared" si="2"/>
        <v>46174</v>
      </c>
      <c r="C18" s="8" t="s">
        <v>21</v>
      </c>
      <c r="D18" s="9">
        <f t="shared" si="0"/>
        <v>5</v>
      </c>
      <c r="E18" s="12">
        <v>2</v>
      </c>
      <c r="F18" s="12"/>
      <c r="G18" s="12">
        <v>1</v>
      </c>
      <c r="H18" s="12"/>
      <c r="I18" s="12">
        <v>2</v>
      </c>
      <c r="K18" s="5" t="s">
        <v>282</v>
      </c>
      <c r="L18" s="5" t="s">
        <v>282</v>
      </c>
      <c r="M18" s="18"/>
      <c r="N18" s="5" t="s">
        <v>283</v>
      </c>
      <c r="P18" s="5" t="s">
        <v>282</v>
      </c>
      <c r="Q18" s="5" t="s">
        <v>282</v>
      </c>
      <c r="R18" s="30" t="s">
        <v>80</v>
      </c>
      <c r="S18" s="30" t="s">
        <v>84</v>
      </c>
      <c r="T18" s="30" t="s">
        <v>84</v>
      </c>
      <c r="U18" s="30" t="s">
        <v>85</v>
      </c>
      <c r="V18" s="30" t="s">
        <v>85</v>
      </c>
      <c r="W18" s="5">
        <v>17</v>
      </c>
      <c r="X18" s="15" t="s">
        <v>76</v>
      </c>
      <c r="Y18" s="15" t="s">
        <v>86</v>
      </c>
    </row>
    <row r="19" spans="1:27" x14ac:dyDescent="0.3">
      <c r="A19" s="27">
        <v>44965</v>
      </c>
      <c r="B19" s="29">
        <f t="shared" si="2"/>
        <v>46181</v>
      </c>
      <c r="C19" s="8" t="s">
        <v>12</v>
      </c>
      <c r="D19" s="9">
        <f t="shared" si="0"/>
        <v>3</v>
      </c>
      <c r="E19" s="11" t="s">
        <v>87</v>
      </c>
      <c r="F19" s="12"/>
      <c r="G19" s="12">
        <v>1</v>
      </c>
      <c r="H19" s="12"/>
      <c r="I19" s="12">
        <v>2</v>
      </c>
      <c r="K19" s="11" t="s">
        <v>87</v>
      </c>
      <c r="L19" s="11" t="s">
        <v>87</v>
      </c>
      <c r="N19" s="5" t="s">
        <v>282</v>
      </c>
      <c r="P19" s="5" t="s">
        <v>283</v>
      </c>
      <c r="Q19" s="5" t="s">
        <v>16</v>
      </c>
      <c r="R19" s="22" t="s">
        <v>88</v>
      </c>
      <c r="S19" s="31" t="s">
        <v>89</v>
      </c>
      <c r="T19" s="16"/>
      <c r="U19" s="31" t="s">
        <v>90</v>
      </c>
      <c r="V19" s="31" t="s">
        <v>91</v>
      </c>
      <c r="W19" s="5">
        <v>18</v>
      </c>
      <c r="X19" s="15" t="s">
        <v>76</v>
      </c>
      <c r="Y19" s="15" t="s">
        <v>92</v>
      </c>
    </row>
    <row r="20" spans="1:27" x14ac:dyDescent="0.3">
      <c r="A20" s="27">
        <v>44966</v>
      </c>
      <c r="B20" s="29">
        <f t="shared" si="2"/>
        <v>46188</v>
      </c>
      <c r="C20" s="8" t="s">
        <v>21</v>
      </c>
      <c r="D20" s="9">
        <f t="shared" si="0"/>
        <v>4</v>
      </c>
      <c r="E20" s="12">
        <v>2</v>
      </c>
      <c r="F20" s="11" t="s">
        <v>93</v>
      </c>
      <c r="G20" s="12">
        <v>1</v>
      </c>
      <c r="H20" s="12"/>
      <c r="I20" s="12">
        <v>1</v>
      </c>
      <c r="K20" s="5" t="s">
        <v>282</v>
      </c>
      <c r="L20" s="5" t="s">
        <v>282</v>
      </c>
      <c r="M20" s="18"/>
      <c r="N20" s="5" t="s">
        <v>283</v>
      </c>
      <c r="O20" s="18"/>
      <c r="P20" s="5" t="s">
        <v>284</v>
      </c>
      <c r="Q20" s="5" t="s">
        <v>284</v>
      </c>
      <c r="W20" s="5">
        <v>19</v>
      </c>
      <c r="X20" s="15" t="s">
        <v>76</v>
      </c>
      <c r="Y20" s="15" t="s">
        <v>95</v>
      </c>
    </row>
    <row r="21" spans="1:27" x14ac:dyDescent="0.3">
      <c r="A21" s="27">
        <v>44967</v>
      </c>
      <c r="B21" s="29">
        <f t="shared" si="2"/>
        <v>46195</v>
      </c>
      <c r="C21" s="8" t="s">
        <v>12</v>
      </c>
      <c r="D21" s="9">
        <f t="shared" si="0"/>
        <v>0</v>
      </c>
      <c r="E21" s="11" t="s">
        <v>94</v>
      </c>
      <c r="F21" s="10" t="s">
        <v>96</v>
      </c>
      <c r="G21" s="10" t="s">
        <v>96</v>
      </c>
      <c r="H21" s="10" t="s">
        <v>96</v>
      </c>
      <c r="I21" s="10" t="s">
        <v>96</v>
      </c>
      <c r="K21" s="11" t="s">
        <v>94</v>
      </c>
      <c r="L21" s="10" t="s">
        <v>96</v>
      </c>
      <c r="M21" s="10" t="s">
        <v>96</v>
      </c>
      <c r="N21" s="10" t="s">
        <v>96</v>
      </c>
      <c r="O21" s="10" t="s">
        <v>96</v>
      </c>
      <c r="P21" s="10" t="s">
        <v>96</v>
      </c>
      <c r="Q21" s="10" t="s">
        <v>96</v>
      </c>
      <c r="R21" s="31" t="s">
        <v>91</v>
      </c>
      <c r="S21" s="31" t="s">
        <v>97</v>
      </c>
      <c r="T21" s="16"/>
      <c r="U21" s="31" t="s">
        <v>98</v>
      </c>
      <c r="V21" s="31"/>
      <c r="W21" s="5">
        <v>20</v>
      </c>
      <c r="X21" s="15" t="s">
        <v>99</v>
      </c>
      <c r="Y21" s="15" t="s">
        <v>100</v>
      </c>
    </row>
    <row r="22" spans="1:27" x14ac:dyDescent="0.3">
      <c r="A22" s="32"/>
      <c r="B22" s="33"/>
      <c r="C22" s="25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31" t="s">
        <v>101</v>
      </c>
      <c r="S22" s="31" t="s">
        <v>102</v>
      </c>
      <c r="T22" s="31" t="s">
        <v>103</v>
      </c>
      <c r="U22" s="31" t="s">
        <v>104</v>
      </c>
      <c r="V22" s="31" t="s">
        <v>105</v>
      </c>
      <c r="W22" s="5">
        <v>21</v>
      </c>
      <c r="X22" s="15" t="s">
        <v>99</v>
      </c>
      <c r="Y22" s="15" t="s">
        <v>106</v>
      </c>
    </row>
    <row r="23" spans="1:27" x14ac:dyDescent="0.3">
      <c r="A23" s="34">
        <v>44986</v>
      </c>
      <c r="B23" s="7">
        <f>B21+28</f>
        <v>46223</v>
      </c>
      <c r="C23" s="8" t="s">
        <v>21</v>
      </c>
      <c r="D23" s="9">
        <f t="shared" ref="D23:D29" si="3">SUM(E23:I23)</f>
        <v>2</v>
      </c>
      <c r="E23" s="10" t="s">
        <v>60</v>
      </c>
      <c r="F23" s="12"/>
      <c r="G23" s="12">
        <v>1</v>
      </c>
      <c r="H23" s="12"/>
      <c r="I23" s="12">
        <v>1</v>
      </c>
      <c r="K23" s="10" t="s">
        <v>60</v>
      </c>
      <c r="L23" s="5" t="s">
        <v>282</v>
      </c>
      <c r="M23" s="18"/>
      <c r="N23" s="5" t="s">
        <v>283</v>
      </c>
      <c r="O23" s="18"/>
      <c r="P23" s="5" t="s">
        <v>282</v>
      </c>
      <c r="Q23" s="5" t="s">
        <v>282</v>
      </c>
      <c r="W23" s="5">
        <v>22</v>
      </c>
      <c r="X23" s="15" t="s">
        <v>99</v>
      </c>
      <c r="Y23" s="15" t="s">
        <v>107</v>
      </c>
    </row>
    <row r="24" spans="1:27" x14ac:dyDescent="0.3">
      <c r="A24" s="34">
        <v>44987</v>
      </c>
      <c r="B24" s="7">
        <f t="shared" ref="B24:B31" si="4">B23+7</f>
        <v>46230</v>
      </c>
      <c r="C24" s="8" t="s">
        <v>12</v>
      </c>
      <c r="D24" s="9">
        <f t="shared" si="3"/>
        <v>5</v>
      </c>
      <c r="E24" s="12">
        <v>2</v>
      </c>
      <c r="F24" s="12"/>
      <c r="G24" s="12">
        <v>1</v>
      </c>
      <c r="H24" s="12"/>
      <c r="I24" s="35">
        <v>2</v>
      </c>
      <c r="K24" s="5" t="s">
        <v>282</v>
      </c>
      <c r="L24" s="5" t="s">
        <v>282</v>
      </c>
      <c r="N24" s="5" t="s">
        <v>282</v>
      </c>
      <c r="P24" s="5" t="s">
        <v>283</v>
      </c>
      <c r="Q24" s="5" t="s">
        <v>16</v>
      </c>
      <c r="R24" s="30" t="s">
        <v>75</v>
      </c>
      <c r="S24" s="30"/>
      <c r="T24" s="30" t="s">
        <v>108</v>
      </c>
      <c r="U24" s="30" t="s">
        <v>109</v>
      </c>
      <c r="V24" s="30" t="s">
        <v>110</v>
      </c>
      <c r="W24" s="5">
        <v>23</v>
      </c>
      <c r="X24" s="15" t="s">
        <v>99</v>
      </c>
      <c r="Y24" s="15" t="s">
        <v>111</v>
      </c>
    </row>
    <row r="25" spans="1:27" x14ac:dyDescent="0.3">
      <c r="A25" s="34">
        <v>44988</v>
      </c>
      <c r="B25" s="7">
        <f t="shared" si="4"/>
        <v>46237</v>
      </c>
      <c r="C25" s="8" t="s">
        <v>21</v>
      </c>
      <c r="D25" s="9">
        <f t="shared" si="3"/>
        <v>4</v>
      </c>
      <c r="E25" s="12">
        <v>2</v>
      </c>
      <c r="F25" s="12"/>
      <c r="G25" s="12">
        <v>1</v>
      </c>
      <c r="H25" s="12"/>
      <c r="I25" s="12">
        <v>1</v>
      </c>
      <c r="K25" s="5" t="s">
        <v>282</v>
      </c>
      <c r="L25" s="5" t="s">
        <v>282</v>
      </c>
      <c r="M25" s="18"/>
      <c r="N25" s="5" t="s">
        <v>283</v>
      </c>
      <c r="O25" s="18"/>
      <c r="P25" s="5" t="s">
        <v>282</v>
      </c>
      <c r="Q25" s="5" t="s">
        <v>282</v>
      </c>
      <c r="R25" s="16"/>
      <c r="S25" s="16"/>
      <c r="T25" s="16"/>
      <c r="U25" s="16"/>
      <c r="V25" s="16"/>
      <c r="W25" s="5">
        <v>24</v>
      </c>
      <c r="X25" s="15" t="s">
        <v>99</v>
      </c>
      <c r="Y25" s="15" t="s">
        <v>112</v>
      </c>
    </row>
    <row r="26" spans="1:27" x14ac:dyDescent="0.3">
      <c r="A26" s="34">
        <v>44989</v>
      </c>
      <c r="B26" s="7">
        <f t="shared" si="4"/>
        <v>46244</v>
      </c>
      <c r="C26" s="8" t="s">
        <v>12</v>
      </c>
      <c r="D26" s="9">
        <f t="shared" si="3"/>
        <v>5</v>
      </c>
      <c r="E26" s="12">
        <v>2</v>
      </c>
      <c r="F26" s="11" t="s">
        <v>113</v>
      </c>
      <c r="G26" s="12">
        <v>1</v>
      </c>
      <c r="H26" s="12"/>
      <c r="I26" s="12">
        <v>2</v>
      </c>
      <c r="K26" s="5" t="s">
        <v>282</v>
      </c>
      <c r="L26" s="5" t="s">
        <v>282</v>
      </c>
      <c r="N26" s="5" t="s">
        <v>282</v>
      </c>
      <c r="P26" s="5" t="s">
        <v>283</v>
      </c>
      <c r="Q26" s="5" t="s">
        <v>16</v>
      </c>
      <c r="R26" s="31" t="s">
        <v>114</v>
      </c>
      <c r="S26" s="31" t="s">
        <v>115</v>
      </c>
      <c r="T26" s="16"/>
      <c r="U26" s="31" t="s">
        <v>116</v>
      </c>
      <c r="V26" s="31" t="s">
        <v>117</v>
      </c>
      <c r="W26" s="5">
        <v>25</v>
      </c>
      <c r="X26" s="15" t="s">
        <v>118</v>
      </c>
      <c r="Y26" s="15" t="s">
        <v>119</v>
      </c>
      <c r="AA26" s="5" t="s">
        <v>120</v>
      </c>
    </row>
    <row r="27" spans="1:27" x14ac:dyDescent="0.3">
      <c r="A27" s="34">
        <v>44990</v>
      </c>
      <c r="B27" s="7">
        <f t="shared" si="4"/>
        <v>46251</v>
      </c>
      <c r="C27" s="8" t="s">
        <v>21</v>
      </c>
      <c r="D27" s="9">
        <f t="shared" si="3"/>
        <v>4</v>
      </c>
      <c r="E27" s="12">
        <v>2</v>
      </c>
      <c r="F27" s="12"/>
      <c r="G27" s="12">
        <v>1</v>
      </c>
      <c r="H27" s="12"/>
      <c r="I27" s="12">
        <v>1</v>
      </c>
      <c r="K27" s="5" t="s">
        <v>282</v>
      </c>
      <c r="L27" s="5" t="s">
        <v>282</v>
      </c>
      <c r="M27" s="18"/>
      <c r="N27" s="5" t="s">
        <v>283</v>
      </c>
      <c r="O27" s="18"/>
      <c r="P27" s="5" t="s">
        <v>284</v>
      </c>
      <c r="Q27" s="5" t="s">
        <v>284</v>
      </c>
      <c r="R27" s="31" t="s">
        <v>121</v>
      </c>
      <c r="S27" s="31" t="s">
        <v>122</v>
      </c>
      <c r="T27" s="31" t="s">
        <v>116</v>
      </c>
      <c r="U27" s="31" t="s">
        <v>123</v>
      </c>
      <c r="V27" s="31" t="s">
        <v>124</v>
      </c>
      <c r="W27" s="5">
        <v>26</v>
      </c>
      <c r="X27" s="15" t="s">
        <v>118</v>
      </c>
      <c r="Y27" s="15" t="s">
        <v>125</v>
      </c>
    </row>
    <row r="28" spans="1:27" x14ac:dyDescent="0.3">
      <c r="A28" s="34">
        <v>44991</v>
      </c>
      <c r="B28" s="7">
        <f t="shared" si="4"/>
        <v>46258</v>
      </c>
      <c r="C28" s="8" t="s">
        <v>12</v>
      </c>
      <c r="D28" s="9">
        <f t="shared" si="3"/>
        <v>5</v>
      </c>
      <c r="E28" s="12">
        <v>2</v>
      </c>
      <c r="F28" s="12"/>
      <c r="G28" s="12">
        <v>1</v>
      </c>
      <c r="H28" s="12"/>
      <c r="I28" s="35">
        <v>2</v>
      </c>
      <c r="K28" s="5" t="s">
        <v>285</v>
      </c>
      <c r="L28" s="5" t="s">
        <v>285</v>
      </c>
      <c r="M28" s="5" t="s">
        <v>285</v>
      </c>
      <c r="N28" s="5" t="s">
        <v>285</v>
      </c>
      <c r="O28" s="5" t="s">
        <v>285</v>
      </c>
      <c r="P28" s="5" t="s">
        <v>285</v>
      </c>
      <c r="Q28" s="5" t="s">
        <v>16</v>
      </c>
      <c r="R28" s="31"/>
      <c r="S28" s="31" t="s">
        <v>126</v>
      </c>
      <c r="T28" s="16"/>
      <c r="U28" s="31" t="s">
        <v>126</v>
      </c>
      <c r="V28" s="31" t="s">
        <v>127</v>
      </c>
      <c r="W28" s="5">
        <v>27</v>
      </c>
      <c r="X28" s="15" t="s">
        <v>118</v>
      </c>
      <c r="Y28" s="15" t="s">
        <v>128</v>
      </c>
    </row>
    <row r="29" spans="1:27" x14ac:dyDescent="0.3">
      <c r="A29" s="34">
        <v>44992</v>
      </c>
      <c r="B29" s="7">
        <f t="shared" si="4"/>
        <v>46265</v>
      </c>
      <c r="C29" s="8" t="s">
        <v>21</v>
      </c>
      <c r="D29" s="9">
        <f t="shared" si="3"/>
        <v>4</v>
      </c>
      <c r="E29" s="12">
        <v>2</v>
      </c>
      <c r="F29" s="12"/>
      <c r="G29" s="12">
        <v>1</v>
      </c>
      <c r="H29" s="12"/>
      <c r="I29" s="12">
        <v>1</v>
      </c>
      <c r="K29" s="5" t="s">
        <v>285</v>
      </c>
      <c r="L29" s="5" t="s">
        <v>285</v>
      </c>
      <c r="M29" s="5" t="s">
        <v>285</v>
      </c>
      <c r="N29" s="5" t="s">
        <v>285</v>
      </c>
      <c r="O29" s="5" t="s">
        <v>285</v>
      </c>
      <c r="P29" s="5" t="s">
        <v>285</v>
      </c>
      <c r="Q29" s="5" t="s">
        <v>285</v>
      </c>
      <c r="R29" s="31" t="s">
        <v>127</v>
      </c>
      <c r="S29" s="31" t="s">
        <v>127</v>
      </c>
      <c r="T29" s="31" t="s">
        <v>127</v>
      </c>
      <c r="U29" s="31" t="s">
        <v>129</v>
      </c>
      <c r="V29" s="31" t="s">
        <v>130</v>
      </c>
      <c r="W29" s="5">
        <v>28</v>
      </c>
      <c r="X29" s="15" t="s">
        <v>118</v>
      </c>
      <c r="Y29" s="15" t="s">
        <v>131</v>
      </c>
    </row>
    <row r="30" spans="1:27" x14ac:dyDescent="0.3">
      <c r="A30" s="34">
        <v>44993</v>
      </c>
      <c r="B30" s="7">
        <f t="shared" si="4"/>
        <v>46272</v>
      </c>
      <c r="C30" s="8" t="s">
        <v>12</v>
      </c>
      <c r="D30" s="9">
        <v>5</v>
      </c>
      <c r="E30" s="12">
        <v>2</v>
      </c>
      <c r="F30" s="12"/>
      <c r="G30" s="12">
        <v>1</v>
      </c>
      <c r="H30" s="12"/>
      <c r="I30" s="35">
        <v>2</v>
      </c>
      <c r="K30" s="5" t="s">
        <v>285</v>
      </c>
      <c r="L30" s="5" t="s">
        <v>285</v>
      </c>
      <c r="M30" s="5" t="s">
        <v>285</v>
      </c>
      <c r="N30" s="5" t="s">
        <v>285</v>
      </c>
      <c r="O30" s="5" t="s">
        <v>285</v>
      </c>
      <c r="P30" s="5" t="s">
        <v>285</v>
      </c>
      <c r="Q30" s="5" t="s">
        <v>16</v>
      </c>
      <c r="R30" s="36" t="s">
        <v>98</v>
      </c>
      <c r="S30" s="36" t="s">
        <v>132</v>
      </c>
      <c r="T30" s="16"/>
      <c r="U30" s="36" t="s">
        <v>133</v>
      </c>
      <c r="V30" s="36" t="s">
        <v>134</v>
      </c>
      <c r="W30" s="5">
        <v>29</v>
      </c>
      <c r="X30" s="15" t="s">
        <v>118</v>
      </c>
      <c r="Y30" s="15" t="s">
        <v>135</v>
      </c>
    </row>
    <row r="31" spans="1:27" x14ac:dyDescent="0.3">
      <c r="A31" s="34">
        <v>44994</v>
      </c>
      <c r="B31" s="7">
        <f t="shared" si="4"/>
        <v>46279</v>
      </c>
      <c r="C31" s="8" t="s">
        <v>21</v>
      </c>
      <c r="D31" s="9">
        <v>5</v>
      </c>
      <c r="E31" s="12">
        <v>2</v>
      </c>
      <c r="F31" s="12"/>
      <c r="G31" s="12">
        <v>1</v>
      </c>
      <c r="H31" s="12"/>
      <c r="I31" s="35">
        <v>1</v>
      </c>
      <c r="K31" s="5" t="s">
        <v>285</v>
      </c>
      <c r="L31" s="5" t="s">
        <v>285</v>
      </c>
      <c r="M31" s="5" t="s">
        <v>285</v>
      </c>
      <c r="N31" s="5" t="s">
        <v>285</v>
      </c>
      <c r="O31" s="5" t="s">
        <v>285</v>
      </c>
      <c r="P31" s="5" t="s">
        <v>285</v>
      </c>
      <c r="Q31" s="5" t="s">
        <v>285</v>
      </c>
      <c r="R31" s="31" t="s">
        <v>136</v>
      </c>
      <c r="S31" s="37" t="s">
        <v>137</v>
      </c>
      <c r="T31" s="37" t="s">
        <v>138</v>
      </c>
      <c r="U31" s="22" t="s">
        <v>139</v>
      </c>
      <c r="V31" s="37" t="s">
        <v>140</v>
      </c>
      <c r="W31" s="5">
        <v>30</v>
      </c>
      <c r="X31" s="38" t="s">
        <v>141</v>
      </c>
      <c r="Y31" s="38" t="s">
        <v>142</v>
      </c>
    </row>
    <row r="32" spans="1:27" x14ac:dyDescent="0.3">
      <c r="A32" s="32"/>
      <c r="B32" s="33"/>
      <c r="C32" s="25"/>
      <c r="D32" s="26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37" t="s">
        <v>143</v>
      </c>
      <c r="S32" s="37" t="s">
        <v>144</v>
      </c>
      <c r="T32" s="16"/>
      <c r="U32" s="37" t="s">
        <v>145</v>
      </c>
      <c r="V32" s="37" t="s">
        <v>145</v>
      </c>
      <c r="W32" s="5">
        <v>31</v>
      </c>
      <c r="X32" s="38" t="s">
        <v>141</v>
      </c>
      <c r="Y32" s="38" t="s">
        <v>146</v>
      </c>
    </row>
    <row r="33" spans="1:25" x14ac:dyDescent="0.3">
      <c r="A33" s="39">
        <v>45017</v>
      </c>
      <c r="B33" s="29">
        <f>B31+21</f>
        <v>46300</v>
      </c>
      <c r="C33" s="8" t="s">
        <v>12</v>
      </c>
      <c r="D33" s="9"/>
      <c r="E33" s="12">
        <v>2</v>
      </c>
      <c r="F33" s="12"/>
      <c r="G33" s="12">
        <v>1</v>
      </c>
      <c r="H33" s="12"/>
      <c r="I33" s="12">
        <v>2</v>
      </c>
      <c r="K33" s="5" t="s">
        <v>286</v>
      </c>
      <c r="L33" s="5" t="s">
        <v>286</v>
      </c>
      <c r="M33" s="5" t="s">
        <v>286</v>
      </c>
      <c r="N33" s="5" t="s">
        <v>286</v>
      </c>
      <c r="O33" s="5" t="s">
        <v>286</v>
      </c>
      <c r="P33" s="5" t="s">
        <v>286</v>
      </c>
      <c r="Q33" s="5" t="s">
        <v>16</v>
      </c>
      <c r="R33" s="22" t="s">
        <v>147</v>
      </c>
      <c r="S33" s="22" t="s">
        <v>147</v>
      </c>
      <c r="T33" s="22" t="s">
        <v>147</v>
      </c>
      <c r="U33" s="22" t="s">
        <v>147</v>
      </c>
      <c r="V33" s="22" t="s">
        <v>147</v>
      </c>
      <c r="W33" s="5">
        <v>32</v>
      </c>
      <c r="X33" s="38" t="s">
        <v>141</v>
      </c>
      <c r="Y33" s="38" t="s">
        <v>148</v>
      </c>
    </row>
    <row r="34" spans="1:25" x14ac:dyDescent="0.3">
      <c r="A34" s="39">
        <v>45018</v>
      </c>
      <c r="B34" s="29">
        <f t="shared" ref="B34:B42" si="5">B33+7</f>
        <v>46307</v>
      </c>
      <c r="C34" s="8" t="s">
        <v>21</v>
      </c>
      <c r="D34" s="9"/>
      <c r="E34" s="12">
        <v>2</v>
      </c>
      <c r="F34" s="12"/>
      <c r="G34" s="12">
        <v>1</v>
      </c>
      <c r="H34" s="12"/>
      <c r="I34" s="35">
        <v>1</v>
      </c>
      <c r="K34" s="5" t="s">
        <v>286</v>
      </c>
      <c r="L34" s="5" t="s">
        <v>286</v>
      </c>
      <c r="M34" s="5" t="s">
        <v>286</v>
      </c>
      <c r="N34" s="5" t="s">
        <v>286</v>
      </c>
      <c r="O34" s="5" t="s">
        <v>286</v>
      </c>
      <c r="P34" s="5" t="s">
        <v>286</v>
      </c>
      <c r="Q34" s="5" t="s">
        <v>286</v>
      </c>
      <c r="W34" s="5" t="s">
        <v>287</v>
      </c>
      <c r="X34" s="38" t="s">
        <v>149</v>
      </c>
      <c r="Y34" s="38" t="s">
        <v>150</v>
      </c>
    </row>
    <row r="35" spans="1:25" x14ac:dyDescent="0.3">
      <c r="A35" s="39">
        <v>45019</v>
      </c>
      <c r="B35" s="29">
        <f t="shared" si="5"/>
        <v>46314</v>
      </c>
      <c r="C35" s="8" t="s">
        <v>12</v>
      </c>
      <c r="E35" s="11" t="s">
        <v>151</v>
      </c>
      <c r="G35" s="35"/>
      <c r="H35" s="35"/>
      <c r="I35" s="35"/>
      <c r="K35" s="11" t="s">
        <v>151</v>
      </c>
      <c r="R35" s="16" t="s">
        <v>152</v>
      </c>
      <c r="S35" s="16" t="s">
        <v>152</v>
      </c>
      <c r="T35" s="16" t="s">
        <v>152</v>
      </c>
      <c r="U35" s="16" t="s">
        <v>152</v>
      </c>
      <c r="V35" s="16" t="s">
        <v>152</v>
      </c>
      <c r="W35" s="5">
        <v>34</v>
      </c>
      <c r="X35" s="38" t="s">
        <v>149</v>
      </c>
      <c r="Y35" s="38" t="s">
        <v>153</v>
      </c>
    </row>
    <row r="36" spans="1:25" x14ac:dyDescent="0.3">
      <c r="A36" s="39">
        <v>45020</v>
      </c>
      <c r="B36" s="29">
        <f t="shared" si="5"/>
        <v>46321</v>
      </c>
      <c r="C36" s="8" t="s">
        <v>21</v>
      </c>
      <c r="E36" s="35"/>
      <c r="F36" s="35"/>
      <c r="G36" s="35"/>
      <c r="H36" s="35"/>
      <c r="I36" s="35"/>
      <c r="R36" s="16" t="s">
        <v>152</v>
      </c>
      <c r="S36" s="16" t="s">
        <v>152</v>
      </c>
      <c r="T36" s="13"/>
      <c r="U36" s="16" t="s">
        <v>152</v>
      </c>
      <c r="V36" s="16" t="s">
        <v>152</v>
      </c>
      <c r="W36" s="5">
        <v>35</v>
      </c>
      <c r="X36" s="38" t="s">
        <v>154</v>
      </c>
      <c r="Y36" s="38" t="s">
        <v>155</v>
      </c>
    </row>
    <row r="37" spans="1:25" x14ac:dyDescent="0.3">
      <c r="A37" s="39">
        <v>45021</v>
      </c>
      <c r="B37" s="29">
        <f t="shared" si="5"/>
        <v>46328</v>
      </c>
      <c r="C37" s="8" t="s">
        <v>12</v>
      </c>
      <c r="E37" s="11" t="s">
        <v>156</v>
      </c>
      <c r="F37" s="11" t="s">
        <v>156</v>
      </c>
      <c r="G37" s="12"/>
      <c r="H37" s="12"/>
      <c r="I37" s="12"/>
      <c r="K37" s="11" t="s">
        <v>156</v>
      </c>
      <c r="L37" s="11" t="s">
        <v>156</v>
      </c>
      <c r="M37" s="11" t="s">
        <v>156</v>
      </c>
      <c r="W37" s="5">
        <v>36</v>
      </c>
      <c r="X37" s="38" t="s">
        <v>154</v>
      </c>
      <c r="Y37" s="38" t="s">
        <v>157</v>
      </c>
    </row>
    <row r="38" spans="1:25" x14ac:dyDescent="0.3">
      <c r="A38" s="39">
        <v>45022</v>
      </c>
      <c r="B38" s="29">
        <f t="shared" si="5"/>
        <v>46335</v>
      </c>
      <c r="C38" s="8" t="s">
        <v>21</v>
      </c>
      <c r="E38" s="12"/>
      <c r="F38" s="12"/>
      <c r="G38" s="12"/>
      <c r="H38" s="12"/>
      <c r="I38" s="11" t="s">
        <v>158</v>
      </c>
      <c r="W38" s="5">
        <v>37</v>
      </c>
      <c r="X38" s="38" t="s">
        <v>159</v>
      </c>
      <c r="Y38" s="38" t="s">
        <v>160</v>
      </c>
    </row>
    <row r="39" spans="1:25" x14ac:dyDescent="0.3">
      <c r="A39" s="39">
        <v>45023</v>
      </c>
      <c r="B39" s="29">
        <f t="shared" si="5"/>
        <v>46342</v>
      </c>
      <c r="C39" s="8" t="s">
        <v>21</v>
      </c>
      <c r="E39" s="11" t="s">
        <v>158</v>
      </c>
      <c r="F39" s="11" t="s">
        <v>158</v>
      </c>
      <c r="G39" s="11" t="s">
        <v>158</v>
      </c>
      <c r="H39" s="11" t="s">
        <v>158</v>
      </c>
      <c r="I39" s="11" t="s">
        <v>82</v>
      </c>
      <c r="W39" s="5">
        <v>38</v>
      </c>
      <c r="X39" s="38" t="s">
        <v>159</v>
      </c>
      <c r="Y39" s="38" t="s">
        <v>161</v>
      </c>
    </row>
    <row r="40" spans="1:25" x14ac:dyDescent="0.3">
      <c r="A40" s="39">
        <v>45024</v>
      </c>
      <c r="B40" s="29">
        <f t="shared" si="5"/>
        <v>46349</v>
      </c>
      <c r="C40" s="8" t="s">
        <v>12</v>
      </c>
      <c r="E40" s="11" t="s">
        <v>162</v>
      </c>
      <c r="F40" s="11" t="s">
        <v>162</v>
      </c>
      <c r="G40" s="11" t="s">
        <v>162</v>
      </c>
      <c r="H40" s="35"/>
      <c r="I40" s="35"/>
      <c r="W40" s="5">
        <v>39</v>
      </c>
      <c r="X40" s="38" t="s">
        <v>159</v>
      </c>
      <c r="Y40" s="38" t="s">
        <v>163</v>
      </c>
    </row>
    <row r="41" spans="1:25" x14ac:dyDescent="0.3">
      <c r="A41" s="39">
        <v>45025</v>
      </c>
      <c r="B41" s="29">
        <f t="shared" si="5"/>
        <v>46356</v>
      </c>
      <c r="C41" s="8" t="s">
        <v>21</v>
      </c>
      <c r="I41" s="5" t="s">
        <v>164</v>
      </c>
      <c r="Q41" s="5" t="s">
        <v>164</v>
      </c>
      <c r="W41" s="5">
        <v>40</v>
      </c>
      <c r="X41" s="38" t="s">
        <v>159</v>
      </c>
      <c r="Y41" s="38" t="s">
        <v>165</v>
      </c>
    </row>
    <row r="42" spans="1:25" x14ac:dyDescent="0.3">
      <c r="A42" s="39">
        <v>45026</v>
      </c>
      <c r="B42" s="29">
        <f t="shared" si="5"/>
        <v>46363</v>
      </c>
      <c r="C42" s="5" t="s">
        <v>12</v>
      </c>
      <c r="W42" s="5">
        <v>41</v>
      </c>
      <c r="X42" s="38" t="s">
        <v>159</v>
      </c>
      <c r="Y42" s="38" t="s">
        <v>166</v>
      </c>
    </row>
    <row r="43" spans="1:25" x14ac:dyDescent="0.3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W43" s="5">
        <v>42</v>
      </c>
      <c r="X43" s="38" t="s">
        <v>159</v>
      </c>
      <c r="Y43" s="38" t="s">
        <v>167</v>
      </c>
    </row>
    <row r="44" spans="1:25" x14ac:dyDescent="0.3">
      <c r="W44" s="5">
        <v>43</v>
      </c>
      <c r="X44" s="38" t="s">
        <v>159</v>
      </c>
      <c r="Y44" s="38" t="s">
        <v>168</v>
      </c>
    </row>
    <row r="45" spans="1:25" x14ac:dyDescent="0.3">
      <c r="A45" s="8" t="s">
        <v>169</v>
      </c>
      <c r="B45" s="8" t="s">
        <v>170</v>
      </c>
      <c r="C45" s="5" t="s">
        <v>171</v>
      </c>
      <c r="D45" s="5" t="s">
        <v>172</v>
      </c>
      <c r="E45" s="40">
        <v>45379</v>
      </c>
      <c r="W45" s="5">
        <v>44</v>
      </c>
      <c r="X45" s="38" t="s">
        <v>159</v>
      </c>
      <c r="Y45" s="38" t="s">
        <v>173</v>
      </c>
    </row>
    <row r="46" spans="1:25" x14ac:dyDescent="0.3">
      <c r="A46" s="8" t="s">
        <v>169</v>
      </c>
      <c r="B46" s="8" t="s">
        <v>174</v>
      </c>
      <c r="C46" s="5" t="s">
        <v>175</v>
      </c>
      <c r="D46" s="5" t="s">
        <v>172</v>
      </c>
      <c r="E46" s="40">
        <v>45421</v>
      </c>
      <c r="W46" s="5">
        <v>45</v>
      </c>
      <c r="X46" s="38" t="s">
        <v>159</v>
      </c>
      <c r="Y46" s="38" t="s">
        <v>176</v>
      </c>
    </row>
    <row r="47" spans="1:25" x14ac:dyDescent="0.3">
      <c r="A47" s="8" t="s">
        <v>169</v>
      </c>
      <c r="B47" s="8" t="s">
        <v>177</v>
      </c>
      <c r="C47" s="5" t="s">
        <v>178</v>
      </c>
      <c r="D47" s="5" t="s">
        <v>172</v>
      </c>
      <c r="E47" s="40">
        <v>45443</v>
      </c>
      <c r="W47" s="5">
        <v>46</v>
      </c>
      <c r="X47" s="38" t="s">
        <v>159</v>
      </c>
      <c r="Y47" s="38" t="s">
        <v>179</v>
      </c>
    </row>
    <row r="48" spans="1:25" ht="16.5" customHeight="1" x14ac:dyDescent="0.3">
      <c r="A48" s="8" t="s">
        <v>169</v>
      </c>
      <c r="B48" s="8" t="s">
        <v>180</v>
      </c>
      <c r="C48" s="5" t="s">
        <v>171</v>
      </c>
      <c r="D48" s="5" t="s">
        <v>172</v>
      </c>
      <c r="E48" s="40">
        <v>45534</v>
      </c>
      <c r="W48" s="5">
        <v>47</v>
      </c>
      <c r="X48" s="38" t="s">
        <v>181</v>
      </c>
      <c r="Y48" s="38" t="s">
        <v>182</v>
      </c>
    </row>
    <row r="49" spans="1:25" ht="16.5" customHeight="1" x14ac:dyDescent="0.3">
      <c r="A49" s="8" t="s">
        <v>169</v>
      </c>
      <c r="B49" s="8" t="s">
        <v>183</v>
      </c>
      <c r="C49" s="5" t="s">
        <v>184</v>
      </c>
      <c r="D49" s="5" t="s">
        <v>185</v>
      </c>
      <c r="E49" s="40">
        <v>45545</v>
      </c>
      <c r="F49" s="40">
        <v>45555</v>
      </c>
      <c r="W49" s="5">
        <v>48</v>
      </c>
      <c r="X49" s="38" t="s">
        <v>181</v>
      </c>
      <c r="Y49" s="38" t="s">
        <v>186</v>
      </c>
    </row>
    <row r="50" spans="1:25" ht="16.5" customHeight="1" x14ac:dyDescent="0.3">
      <c r="W50" s="5">
        <v>49</v>
      </c>
      <c r="X50" s="38" t="s">
        <v>181</v>
      </c>
      <c r="Y50" s="38" t="s">
        <v>187</v>
      </c>
    </row>
    <row r="51" spans="1:25" ht="16.5" customHeight="1" x14ac:dyDescent="0.3">
      <c r="W51" s="5">
        <v>50</v>
      </c>
      <c r="X51" s="38" t="s">
        <v>181</v>
      </c>
      <c r="Y51" s="38" t="s">
        <v>188</v>
      </c>
    </row>
    <row r="52" spans="1:25" ht="16.5" customHeight="1" x14ac:dyDescent="0.3">
      <c r="W52" s="5">
        <v>51</v>
      </c>
      <c r="X52" s="38" t="s">
        <v>181</v>
      </c>
      <c r="Y52" s="38" t="s">
        <v>189</v>
      </c>
    </row>
    <row r="53" spans="1:25" ht="16.5" customHeight="1" x14ac:dyDescent="0.3">
      <c r="A53" s="41"/>
      <c r="B53" s="41"/>
      <c r="W53" s="5">
        <v>52</v>
      </c>
      <c r="X53" s="38" t="s">
        <v>181</v>
      </c>
      <c r="Y53" s="38" t="s">
        <v>190</v>
      </c>
    </row>
    <row r="54" spans="1:25" ht="16.5" customHeight="1" x14ac:dyDescent="0.3">
      <c r="A54" s="41"/>
      <c r="B54" s="41"/>
      <c r="W54" s="5">
        <v>53</v>
      </c>
      <c r="X54" s="38" t="s">
        <v>181</v>
      </c>
      <c r="Y54" s="38" t="s">
        <v>191</v>
      </c>
    </row>
    <row r="55" spans="1:25" x14ac:dyDescent="0.3">
      <c r="A55" s="42"/>
      <c r="B55" s="43"/>
      <c r="C55" s="42"/>
      <c r="W55" s="5">
        <v>54</v>
      </c>
      <c r="X55" s="38" t="s">
        <v>181</v>
      </c>
      <c r="Y55" s="38" t="s">
        <v>192</v>
      </c>
    </row>
    <row r="56" spans="1:25" x14ac:dyDescent="0.3">
      <c r="A56" s="42"/>
      <c r="B56" s="43"/>
      <c r="C56" s="42"/>
      <c r="W56" s="5">
        <v>55</v>
      </c>
      <c r="X56" s="38" t="s">
        <v>181</v>
      </c>
      <c r="Y56" s="38" t="s">
        <v>193</v>
      </c>
    </row>
    <row r="57" spans="1:25" x14ac:dyDescent="0.3">
      <c r="A57" s="42"/>
      <c r="B57" s="43"/>
      <c r="C57" s="42"/>
      <c r="W57" s="5">
        <v>56</v>
      </c>
      <c r="X57" s="44" t="s">
        <v>194</v>
      </c>
      <c r="Y57" s="44" t="s">
        <v>195</v>
      </c>
    </row>
    <row r="58" spans="1:25" x14ac:dyDescent="0.3">
      <c r="A58" s="42"/>
      <c r="B58" s="43"/>
      <c r="C58" s="42"/>
      <c r="W58" s="5">
        <v>57</v>
      </c>
      <c r="X58" s="44" t="s">
        <v>194</v>
      </c>
      <c r="Y58" s="44" t="s">
        <v>196</v>
      </c>
    </row>
    <row r="59" spans="1:25" x14ac:dyDescent="0.3">
      <c r="A59" s="42"/>
      <c r="B59" s="43"/>
      <c r="C59" s="42"/>
      <c r="W59" s="5">
        <v>58</v>
      </c>
      <c r="X59" s="44" t="s">
        <v>194</v>
      </c>
      <c r="Y59" s="44" t="s">
        <v>197</v>
      </c>
    </row>
    <row r="60" spans="1:25" x14ac:dyDescent="0.3">
      <c r="A60" s="42"/>
      <c r="B60" s="43"/>
      <c r="C60" s="42"/>
      <c r="W60" s="5">
        <v>59</v>
      </c>
      <c r="X60" s="44" t="s">
        <v>194</v>
      </c>
      <c r="Y60" s="44" t="s">
        <v>198</v>
      </c>
    </row>
    <row r="61" spans="1:25" x14ac:dyDescent="0.3">
      <c r="A61" s="42"/>
      <c r="B61" s="43"/>
      <c r="C61" s="42"/>
      <c r="W61" s="5">
        <v>60</v>
      </c>
      <c r="X61" s="44" t="s">
        <v>199</v>
      </c>
      <c r="Y61" s="44" t="s">
        <v>200</v>
      </c>
    </row>
    <row r="62" spans="1:25" x14ac:dyDescent="0.3">
      <c r="A62" s="42"/>
      <c r="B62" s="43"/>
      <c r="C62" s="42"/>
      <c r="W62" s="5">
        <v>61</v>
      </c>
      <c r="X62" s="44" t="s">
        <v>199</v>
      </c>
      <c r="Y62" s="44" t="s">
        <v>201</v>
      </c>
    </row>
    <row r="63" spans="1:25" x14ac:dyDescent="0.3">
      <c r="A63" s="42"/>
      <c r="B63" s="43"/>
      <c r="C63" s="42"/>
      <c r="W63" s="5">
        <v>62</v>
      </c>
      <c r="X63" s="44" t="s">
        <v>199</v>
      </c>
      <c r="Y63" s="44" t="s">
        <v>202</v>
      </c>
    </row>
    <row r="64" spans="1:25" x14ac:dyDescent="0.3">
      <c r="A64" s="42"/>
      <c r="B64" s="43"/>
      <c r="C64" s="42"/>
      <c r="W64" s="5">
        <v>63</v>
      </c>
      <c r="X64" s="44" t="s">
        <v>199</v>
      </c>
      <c r="Y64" s="44" t="s">
        <v>203</v>
      </c>
    </row>
    <row r="65" spans="2:25" x14ac:dyDescent="0.3">
      <c r="B65" s="45"/>
      <c r="C65" s="8"/>
      <c r="W65" s="5">
        <v>64</v>
      </c>
      <c r="X65" s="44" t="s">
        <v>199</v>
      </c>
      <c r="Y65" s="44" t="s">
        <v>204</v>
      </c>
    </row>
    <row r="66" spans="2:25" x14ac:dyDescent="0.3">
      <c r="B66" s="45"/>
      <c r="C66" s="8"/>
      <c r="W66" s="5">
        <v>65</v>
      </c>
      <c r="X66" s="44" t="s">
        <v>199</v>
      </c>
      <c r="Y66" s="44" t="s">
        <v>205</v>
      </c>
    </row>
    <row r="67" spans="2:25" x14ac:dyDescent="0.3">
      <c r="B67" s="45"/>
      <c r="C67" s="8"/>
      <c r="W67" s="5">
        <v>66</v>
      </c>
      <c r="X67" s="44" t="s">
        <v>206</v>
      </c>
      <c r="Y67" s="44" t="s">
        <v>207</v>
      </c>
    </row>
    <row r="68" spans="2:25" x14ac:dyDescent="0.3">
      <c r="B68" s="45"/>
      <c r="C68" s="8"/>
      <c r="W68" s="5">
        <v>67</v>
      </c>
      <c r="X68" s="44" t="s">
        <v>206</v>
      </c>
      <c r="Y68" s="44" t="s">
        <v>208</v>
      </c>
    </row>
    <row r="69" spans="2:25" x14ac:dyDescent="0.3">
      <c r="B69" s="45"/>
      <c r="C69" s="8"/>
      <c r="W69" s="5">
        <v>68</v>
      </c>
      <c r="X69" s="44" t="s">
        <v>206</v>
      </c>
      <c r="Y69" s="44" t="s">
        <v>209</v>
      </c>
    </row>
    <row r="70" spans="2:25" x14ac:dyDescent="0.3">
      <c r="B70" s="45"/>
      <c r="C70" s="8"/>
      <c r="W70" s="5">
        <v>69</v>
      </c>
      <c r="X70" s="44" t="s">
        <v>206</v>
      </c>
      <c r="Y70" s="44" t="s">
        <v>210</v>
      </c>
    </row>
    <row r="71" spans="2:25" x14ac:dyDescent="0.3">
      <c r="B71" s="45"/>
      <c r="C71" s="8"/>
      <c r="W71" s="5">
        <v>70</v>
      </c>
      <c r="X71" s="44" t="s">
        <v>211</v>
      </c>
      <c r="Y71" s="44" t="s">
        <v>212</v>
      </c>
    </row>
    <row r="72" spans="2:25" x14ac:dyDescent="0.3">
      <c r="B72" s="45"/>
      <c r="C72" s="8"/>
      <c r="W72" s="5">
        <v>71</v>
      </c>
      <c r="X72" s="44" t="s">
        <v>211</v>
      </c>
      <c r="Y72" s="44" t="s">
        <v>213</v>
      </c>
    </row>
    <row r="73" spans="2:25" x14ac:dyDescent="0.3">
      <c r="B73" s="45"/>
      <c r="C73" s="8"/>
      <c r="W73" s="5">
        <v>72</v>
      </c>
      <c r="X73" s="44" t="s">
        <v>211</v>
      </c>
      <c r="Y73" s="44" t="s">
        <v>214</v>
      </c>
    </row>
    <row r="74" spans="2:25" x14ac:dyDescent="0.3">
      <c r="B74" s="45"/>
      <c r="C74" s="8"/>
      <c r="W74" s="5">
        <v>73</v>
      </c>
      <c r="X74" s="44" t="s">
        <v>215</v>
      </c>
      <c r="Y74" s="44" t="s">
        <v>216</v>
      </c>
    </row>
    <row r="75" spans="2:25" x14ac:dyDescent="0.3">
      <c r="B75" s="45"/>
      <c r="C75" s="8"/>
      <c r="W75" s="5">
        <v>74</v>
      </c>
      <c r="X75" s="44" t="s">
        <v>215</v>
      </c>
      <c r="Y75" s="44" t="s">
        <v>217</v>
      </c>
    </row>
    <row r="76" spans="2:25" x14ac:dyDescent="0.3">
      <c r="B76" s="45"/>
      <c r="C76" s="8"/>
      <c r="W76" s="5">
        <v>75</v>
      </c>
      <c r="X76" s="44" t="s">
        <v>215</v>
      </c>
      <c r="Y76" s="44" t="s">
        <v>218</v>
      </c>
    </row>
    <row r="77" spans="2:25" x14ac:dyDescent="0.3">
      <c r="B77" s="45"/>
      <c r="C77" s="8"/>
      <c r="W77" s="5">
        <v>76</v>
      </c>
      <c r="X77" s="44" t="s">
        <v>219</v>
      </c>
      <c r="Y77" s="44" t="s">
        <v>220</v>
      </c>
    </row>
    <row r="78" spans="2:25" x14ac:dyDescent="0.3">
      <c r="B78" s="45"/>
      <c r="C78" s="8"/>
      <c r="W78" s="5">
        <v>77</v>
      </c>
      <c r="X78" s="44" t="s">
        <v>219</v>
      </c>
      <c r="Y78" s="44" t="s">
        <v>221</v>
      </c>
    </row>
    <row r="79" spans="2:25" x14ac:dyDescent="0.3">
      <c r="B79" s="45"/>
      <c r="C79" s="8"/>
      <c r="W79" s="5">
        <v>78</v>
      </c>
      <c r="X79" s="44" t="s">
        <v>219</v>
      </c>
      <c r="Y79" s="44" t="s">
        <v>222</v>
      </c>
    </row>
    <row r="80" spans="2:25" x14ac:dyDescent="0.3">
      <c r="B80" s="45"/>
      <c r="C80" s="8"/>
      <c r="W80" s="5">
        <v>79</v>
      </c>
      <c r="X80" s="44" t="s">
        <v>219</v>
      </c>
      <c r="Y80" s="44" t="s">
        <v>223</v>
      </c>
    </row>
    <row r="81" spans="2:25" x14ac:dyDescent="0.3">
      <c r="B81" s="45"/>
      <c r="C81" s="8"/>
      <c r="W81" s="5">
        <v>80</v>
      </c>
      <c r="X81" s="44" t="s">
        <v>219</v>
      </c>
      <c r="Y81" s="44" t="s">
        <v>224</v>
      </c>
    </row>
    <row r="82" spans="2:25" x14ac:dyDescent="0.3">
      <c r="B82" s="45"/>
      <c r="C82" s="8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5">
        <v>81</v>
      </c>
      <c r="X82" s="44" t="s">
        <v>225</v>
      </c>
      <c r="Y82" s="44" t="s">
        <v>226</v>
      </c>
    </row>
    <row r="83" spans="2:25" x14ac:dyDescent="0.3">
      <c r="B83" s="45"/>
      <c r="C83" s="8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5">
        <v>82</v>
      </c>
      <c r="X83" s="44" t="s">
        <v>225</v>
      </c>
      <c r="Y83" s="44" t="s">
        <v>227</v>
      </c>
    </row>
    <row r="84" spans="2:25" x14ac:dyDescent="0.3">
      <c r="B84" s="45"/>
      <c r="C84" s="8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5">
        <v>83</v>
      </c>
      <c r="X84" s="46" t="s">
        <v>228</v>
      </c>
      <c r="Y84" s="46" t="s">
        <v>229</v>
      </c>
    </row>
    <row r="85" spans="2:25" x14ac:dyDescent="0.3">
      <c r="B85" s="45"/>
      <c r="C85" s="8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5">
        <v>84</v>
      </c>
      <c r="X85" s="46" t="s">
        <v>228</v>
      </c>
      <c r="Y85" s="46" t="s">
        <v>230</v>
      </c>
    </row>
    <row r="86" spans="2:25" x14ac:dyDescent="0.3">
      <c r="B86" s="45"/>
      <c r="C86" s="8"/>
      <c r="W86" s="5">
        <v>85</v>
      </c>
      <c r="X86" s="46" t="s">
        <v>228</v>
      </c>
      <c r="Y86" s="46" t="s">
        <v>231</v>
      </c>
    </row>
    <row r="87" spans="2:25" x14ac:dyDescent="0.3">
      <c r="B87" s="45"/>
      <c r="C87" s="8"/>
      <c r="W87" s="5">
        <v>86</v>
      </c>
      <c r="X87" s="46" t="s">
        <v>228</v>
      </c>
      <c r="Y87" s="46" t="s">
        <v>232</v>
      </c>
    </row>
    <row r="88" spans="2:25" x14ac:dyDescent="0.3">
      <c r="B88" s="45"/>
      <c r="C88" s="8"/>
      <c r="W88" s="5">
        <v>87</v>
      </c>
      <c r="X88" s="46" t="s">
        <v>228</v>
      </c>
      <c r="Y88" s="46" t="s">
        <v>233</v>
      </c>
    </row>
    <row r="89" spans="2:25" x14ac:dyDescent="0.3">
      <c r="B89" s="45"/>
      <c r="C89" s="8"/>
      <c r="W89" s="5">
        <v>88</v>
      </c>
      <c r="X89" s="46" t="s">
        <v>228</v>
      </c>
      <c r="Y89" s="46" t="s">
        <v>234</v>
      </c>
    </row>
    <row r="90" spans="2:25" x14ac:dyDescent="0.3">
      <c r="B90" s="45"/>
      <c r="C90" s="8"/>
      <c r="W90" s="5">
        <v>89</v>
      </c>
      <c r="X90" s="46" t="s">
        <v>228</v>
      </c>
      <c r="Y90" s="46" t="s">
        <v>235</v>
      </c>
    </row>
    <row r="91" spans="2:25" x14ac:dyDescent="0.3">
      <c r="B91" s="45"/>
      <c r="C91" s="8"/>
      <c r="W91" s="5">
        <v>90</v>
      </c>
      <c r="X91" s="46" t="s">
        <v>228</v>
      </c>
      <c r="Y91" s="46" t="s">
        <v>236</v>
      </c>
    </row>
    <row r="92" spans="2:25" x14ac:dyDescent="0.3">
      <c r="B92" s="45"/>
      <c r="C92" s="8"/>
      <c r="W92" s="5">
        <v>91</v>
      </c>
      <c r="X92" s="46" t="s">
        <v>228</v>
      </c>
      <c r="Y92" s="46" t="s">
        <v>237</v>
      </c>
    </row>
    <row r="93" spans="2:25" x14ac:dyDescent="0.3">
      <c r="B93" s="45"/>
      <c r="C93" s="8"/>
      <c r="W93" s="5">
        <v>92</v>
      </c>
      <c r="X93" s="46" t="s">
        <v>238</v>
      </c>
      <c r="Y93" s="46" t="s">
        <v>239</v>
      </c>
    </row>
    <row r="94" spans="2:25" x14ac:dyDescent="0.3">
      <c r="B94" s="45"/>
      <c r="C94" s="8"/>
      <c r="W94" s="5">
        <v>93</v>
      </c>
      <c r="X94" s="46" t="s">
        <v>238</v>
      </c>
      <c r="Y94" s="46" t="s">
        <v>240</v>
      </c>
    </row>
    <row r="95" spans="2:25" x14ac:dyDescent="0.3">
      <c r="B95" s="45"/>
      <c r="C95" s="8"/>
      <c r="W95" s="5">
        <v>94</v>
      </c>
      <c r="X95" s="46" t="s">
        <v>238</v>
      </c>
      <c r="Y95" s="46" t="s">
        <v>241</v>
      </c>
    </row>
    <row r="96" spans="2:25" x14ac:dyDescent="0.3">
      <c r="B96" s="45"/>
      <c r="C96" s="8"/>
      <c r="W96" s="5">
        <v>95</v>
      </c>
      <c r="X96" s="46" t="s">
        <v>242</v>
      </c>
      <c r="Y96" s="46" t="s">
        <v>243</v>
      </c>
    </row>
    <row r="97" spans="2:25" x14ac:dyDescent="0.3">
      <c r="B97" s="45"/>
      <c r="C97" s="8"/>
      <c r="W97" s="5">
        <v>96</v>
      </c>
      <c r="X97" s="46" t="s">
        <v>242</v>
      </c>
      <c r="Y97" s="46" t="s">
        <v>244</v>
      </c>
    </row>
    <row r="98" spans="2:25" x14ac:dyDescent="0.3">
      <c r="B98" s="45"/>
      <c r="C98" s="8"/>
      <c r="W98" s="5">
        <v>97</v>
      </c>
      <c r="X98" s="46" t="s">
        <v>242</v>
      </c>
      <c r="Y98" s="46" t="s">
        <v>245</v>
      </c>
    </row>
    <row r="99" spans="2:25" x14ac:dyDescent="0.3">
      <c r="B99" s="45"/>
      <c r="C99" s="8"/>
      <c r="W99" s="5">
        <v>98</v>
      </c>
      <c r="X99" s="46" t="s">
        <v>242</v>
      </c>
      <c r="Y99" s="46" t="s">
        <v>246</v>
      </c>
    </row>
    <row r="100" spans="2:25" x14ac:dyDescent="0.3">
      <c r="B100" s="45"/>
      <c r="C100" s="8"/>
      <c r="W100" s="5">
        <v>99</v>
      </c>
      <c r="X100" s="46" t="s">
        <v>247</v>
      </c>
      <c r="Y100" s="46" t="s">
        <v>248</v>
      </c>
    </row>
    <row r="101" spans="2:25" x14ac:dyDescent="0.3">
      <c r="B101" s="45"/>
      <c r="C101" s="8"/>
      <c r="W101" s="5">
        <v>100</v>
      </c>
      <c r="X101" s="46" t="s">
        <v>247</v>
      </c>
      <c r="Y101" s="46" t="s">
        <v>249</v>
      </c>
    </row>
    <row r="102" spans="2:25" x14ac:dyDescent="0.3">
      <c r="B102" s="45"/>
      <c r="C102" s="8"/>
      <c r="W102" s="5">
        <v>101</v>
      </c>
      <c r="X102" s="46" t="s">
        <v>247</v>
      </c>
      <c r="Y102" s="46" t="s">
        <v>250</v>
      </c>
    </row>
    <row r="103" spans="2:25" x14ac:dyDescent="0.3">
      <c r="B103" s="45"/>
      <c r="C103" s="8"/>
      <c r="W103" s="5">
        <v>102</v>
      </c>
      <c r="X103" s="46" t="s">
        <v>247</v>
      </c>
      <c r="Y103" s="46" t="s">
        <v>251</v>
      </c>
    </row>
    <row r="104" spans="2:25" x14ac:dyDescent="0.3">
      <c r="B104" s="45"/>
      <c r="C104" s="8"/>
      <c r="W104" s="5">
        <v>103</v>
      </c>
      <c r="X104" s="46" t="s">
        <v>247</v>
      </c>
      <c r="Y104" s="46" t="s">
        <v>252</v>
      </c>
    </row>
    <row r="105" spans="2:25" x14ac:dyDescent="0.3">
      <c r="B105" s="45"/>
      <c r="C105" s="8"/>
      <c r="W105" s="5">
        <v>104</v>
      </c>
      <c r="X105" s="46" t="s">
        <v>247</v>
      </c>
      <c r="Y105" s="46" t="s">
        <v>253</v>
      </c>
    </row>
    <row r="106" spans="2:25" x14ac:dyDescent="0.3">
      <c r="B106" s="45"/>
      <c r="C106" s="8"/>
      <c r="W106" s="5">
        <v>105</v>
      </c>
      <c r="X106" s="46" t="s">
        <v>247</v>
      </c>
      <c r="Y106" s="46" t="s">
        <v>254</v>
      </c>
    </row>
    <row r="107" spans="2:25" x14ac:dyDescent="0.3">
      <c r="B107" s="45"/>
      <c r="C107" s="8"/>
      <c r="W107" s="5">
        <v>106</v>
      </c>
      <c r="X107" s="46" t="s">
        <v>247</v>
      </c>
      <c r="Y107" s="46" t="s">
        <v>255</v>
      </c>
    </row>
    <row r="108" spans="2:25" x14ac:dyDescent="0.3">
      <c r="B108" s="45"/>
      <c r="C108" s="8"/>
      <c r="W108" s="5">
        <v>107</v>
      </c>
      <c r="X108" s="46" t="s">
        <v>256</v>
      </c>
      <c r="Y108" s="46" t="s">
        <v>257</v>
      </c>
    </row>
    <row r="109" spans="2:25" x14ac:dyDescent="0.3">
      <c r="B109" s="45"/>
      <c r="C109" s="8"/>
      <c r="W109" s="5">
        <v>108</v>
      </c>
      <c r="X109" s="46" t="s">
        <v>256</v>
      </c>
      <c r="Y109" s="46" t="s">
        <v>258</v>
      </c>
    </row>
    <row r="110" spans="2:25" x14ac:dyDescent="0.3">
      <c r="B110" s="45"/>
      <c r="C110" s="8"/>
      <c r="W110" s="5">
        <v>109</v>
      </c>
      <c r="X110" s="46" t="s">
        <v>256</v>
      </c>
      <c r="Y110" s="46" t="s">
        <v>259</v>
      </c>
    </row>
    <row r="111" spans="2:25" x14ac:dyDescent="0.3">
      <c r="B111" s="45"/>
      <c r="C111" s="8"/>
      <c r="W111" s="5">
        <v>110</v>
      </c>
      <c r="X111" s="46" t="s">
        <v>256</v>
      </c>
      <c r="Y111" s="46" t="s">
        <v>260</v>
      </c>
    </row>
    <row r="112" spans="2:25" x14ac:dyDescent="0.3">
      <c r="B112" s="45"/>
      <c r="C112" s="8"/>
      <c r="W112" s="5">
        <v>111</v>
      </c>
      <c r="X112" s="46" t="s">
        <v>256</v>
      </c>
      <c r="Y112" s="46" t="s">
        <v>261</v>
      </c>
    </row>
    <row r="113" spans="2:25" x14ac:dyDescent="0.3">
      <c r="B113" s="45"/>
      <c r="C113" s="8"/>
      <c r="W113" s="5">
        <v>112</v>
      </c>
      <c r="X113" s="46" t="s">
        <v>256</v>
      </c>
      <c r="Y113" s="46" t="s">
        <v>262</v>
      </c>
    </row>
    <row r="114" spans="2:25" x14ac:dyDescent="0.3">
      <c r="B114" s="45"/>
      <c r="C114" s="8"/>
      <c r="W114" s="5">
        <v>113</v>
      </c>
      <c r="X114" s="46" t="s">
        <v>263</v>
      </c>
      <c r="Y114" s="46" t="s">
        <v>264</v>
      </c>
    </row>
    <row r="115" spans="2:25" x14ac:dyDescent="0.3">
      <c r="B115" s="45"/>
      <c r="C115" s="8"/>
      <c r="W115" s="5">
        <v>114</v>
      </c>
      <c r="X115" s="46" t="s">
        <v>263</v>
      </c>
      <c r="Y115" s="46" t="s">
        <v>265</v>
      </c>
    </row>
    <row r="116" spans="2:25" x14ac:dyDescent="0.3">
      <c r="B116" s="45"/>
      <c r="C116" s="8"/>
      <c r="W116" s="5">
        <v>115</v>
      </c>
      <c r="X116" s="46" t="s">
        <v>263</v>
      </c>
      <c r="Y116" s="46" t="s">
        <v>266</v>
      </c>
    </row>
    <row r="117" spans="2:25" x14ac:dyDescent="0.3">
      <c r="B117" s="45"/>
      <c r="C117" s="8"/>
      <c r="W117" s="5">
        <v>116</v>
      </c>
      <c r="X117" s="46" t="s">
        <v>263</v>
      </c>
      <c r="Y117" s="46" t="s">
        <v>267</v>
      </c>
    </row>
    <row r="118" spans="2:25" x14ac:dyDescent="0.3">
      <c r="B118" s="45"/>
      <c r="C118" s="8"/>
      <c r="W118" s="5">
        <v>117</v>
      </c>
      <c r="X118" s="46" t="s">
        <v>263</v>
      </c>
      <c r="Y118" s="46" t="s">
        <v>268</v>
      </c>
    </row>
    <row r="119" spans="2:25" x14ac:dyDescent="0.3">
      <c r="B119" s="45"/>
      <c r="C119" s="8"/>
      <c r="W119" s="5">
        <v>118</v>
      </c>
      <c r="X119" s="46" t="s">
        <v>263</v>
      </c>
      <c r="Y119" s="46" t="s">
        <v>269</v>
      </c>
    </row>
    <row r="120" spans="2:25" x14ac:dyDescent="0.3">
      <c r="B120" s="45"/>
      <c r="C120" s="8"/>
      <c r="W120" s="5">
        <v>119</v>
      </c>
      <c r="X120" s="46" t="s">
        <v>263</v>
      </c>
      <c r="Y120" s="46" t="s">
        <v>270</v>
      </c>
    </row>
    <row r="121" spans="2:25" x14ac:dyDescent="0.3">
      <c r="B121" s="45"/>
      <c r="C121" s="8"/>
      <c r="W121" s="5">
        <v>120</v>
      </c>
      <c r="X121" s="46" t="s">
        <v>263</v>
      </c>
      <c r="Y121" s="46" t="s">
        <v>271</v>
      </c>
    </row>
    <row r="122" spans="2:25" x14ac:dyDescent="0.3">
      <c r="B122" s="45"/>
      <c r="C122" s="8"/>
      <c r="W122" s="5">
        <v>121</v>
      </c>
      <c r="X122" s="46" t="s">
        <v>263</v>
      </c>
      <c r="Y122" s="46" t="s">
        <v>272</v>
      </c>
    </row>
    <row r="123" spans="2:25" x14ac:dyDescent="0.3">
      <c r="B123" s="45"/>
      <c r="C123" s="8"/>
      <c r="W123" s="5">
        <v>122</v>
      </c>
      <c r="X123" s="46" t="s">
        <v>273</v>
      </c>
      <c r="Y123" s="46" t="s">
        <v>274</v>
      </c>
    </row>
    <row r="124" spans="2:25" x14ac:dyDescent="0.3">
      <c r="B124" s="45"/>
      <c r="C124" s="8"/>
      <c r="W124" s="5">
        <v>123</v>
      </c>
      <c r="X124" s="46" t="s">
        <v>273</v>
      </c>
      <c r="Y124" s="46" t="s">
        <v>275</v>
      </c>
    </row>
    <row r="125" spans="2:25" x14ac:dyDescent="0.3">
      <c r="B125" s="45"/>
      <c r="C125" s="8"/>
      <c r="W125" s="5">
        <v>124</v>
      </c>
      <c r="X125" s="46" t="s">
        <v>276</v>
      </c>
      <c r="Y125" s="46" t="s">
        <v>277</v>
      </c>
    </row>
    <row r="126" spans="2:25" x14ac:dyDescent="0.3">
      <c r="B126" s="45"/>
      <c r="C126" s="8"/>
      <c r="W126" s="5">
        <v>125</v>
      </c>
      <c r="X126" s="46" t="s">
        <v>276</v>
      </c>
      <c r="Y126" s="46" t="s">
        <v>278</v>
      </c>
    </row>
    <row r="127" spans="2:25" x14ac:dyDescent="0.3">
      <c r="B127" s="45"/>
      <c r="C127" s="8"/>
      <c r="W127" s="5">
        <v>126</v>
      </c>
      <c r="X127" s="46" t="s">
        <v>276</v>
      </c>
      <c r="Y127" s="46" t="s">
        <v>279</v>
      </c>
    </row>
    <row r="128" spans="2:25" x14ac:dyDescent="0.3">
      <c r="B128" s="45"/>
      <c r="C128" s="8"/>
      <c r="W128" s="5">
        <v>127</v>
      </c>
      <c r="X128" s="46" t="s">
        <v>276</v>
      </c>
      <c r="Y128" s="46" t="s">
        <v>280</v>
      </c>
    </row>
    <row r="129" spans="2:25" x14ac:dyDescent="0.3">
      <c r="B129" s="45"/>
      <c r="C129" s="8"/>
      <c r="W129" s="5">
        <v>128</v>
      </c>
      <c r="X129" s="46" t="s">
        <v>276</v>
      </c>
      <c r="Y129" s="46" t="s">
        <v>281</v>
      </c>
    </row>
    <row r="130" spans="2:25" x14ac:dyDescent="0.3">
      <c r="B130" s="45"/>
      <c r="C130" s="8"/>
    </row>
    <row r="131" spans="2:25" x14ac:dyDescent="0.3">
      <c r="B131" s="45"/>
      <c r="C131" s="8"/>
    </row>
    <row r="132" spans="2:25" x14ac:dyDescent="0.3">
      <c r="B132" s="45"/>
      <c r="C132" s="8"/>
    </row>
    <row r="133" spans="2:25" x14ac:dyDescent="0.3">
      <c r="B133" s="45"/>
      <c r="C133" s="8"/>
    </row>
    <row r="134" spans="2:25" x14ac:dyDescent="0.3">
      <c r="B134" s="45"/>
      <c r="C134" s="8"/>
    </row>
    <row r="135" spans="2:25" x14ac:dyDescent="0.3">
      <c r="B135" s="45"/>
      <c r="C135" s="8"/>
    </row>
    <row r="136" spans="2:25" x14ac:dyDescent="0.3">
      <c r="B136" s="45"/>
      <c r="C136" s="8"/>
    </row>
    <row r="137" spans="2:25" x14ac:dyDescent="0.3">
      <c r="B137" s="45"/>
      <c r="C137" s="8"/>
    </row>
    <row r="138" spans="2:25" x14ac:dyDescent="0.3">
      <c r="B138" s="45"/>
      <c r="C138" s="8"/>
    </row>
    <row r="139" spans="2:25" x14ac:dyDescent="0.3">
      <c r="B139" s="45"/>
      <c r="C139" s="8"/>
    </row>
    <row r="140" spans="2:25" x14ac:dyDescent="0.3">
      <c r="B140" s="45"/>
      <c r="C140" s="8"/>
    </row>
    <row r="141" spans="2:25" x14ac:dyDescent="0.3">
      <c r="B141" s="45"/>
      <c r="C141" s="8"/>
    </row>
    <row r="142" spans="2:25" x14ac:dyDescent="0.3">
      <c r="B142" s="45"/>
      <c r="C142" s="8"/>
    </row>
    <row r="143" spans="2:25" x14ac:dyDescent="0.3">
      <c r="B143" s="45"/>
      <c r="C143" s="8"/>
    </row>
    <row r="144" spans="2:25" x14ac:dyDescent="0.3">
      <c r="B144" s="45"/>
      <c r="C144" s="8"/>
    </row>
    <row r="145" spans="2:3" x14ac:dyDescent="0.3">
      <c r="B145" s="45"/>
      <c r="C145" s="8"/>
    </row>
    <row r="146" spans="2:3" x14ac:dyDescent="0.3">
      <c r="B146" s="45"/>
      <c r="C146" s="8"/>
    </row>
    <row r="147" spans="2:3" x14ac:dyDescent="0.3">
      <c r="B147" s="45"/>
      <c r="C147" s="8"/>
    </row>
    <row r="148" spans="2:3" x14ac:dyDescent="0.3">
      <c r="B148" s="45"/>
      <c r="C148" s="8"/>
    </row>
    <row r="149" spans="2:3" x14ac:dyDescent="0.3">
      <c r="B149" s="45"/>
      <c r="C149" s="8"/>
    </row>
    <row r="150" spans="2:3" x14ac:dyDescent="0.3">
      <c r="B150" s="45"/>
      <c r="C150" s="8"/>
    </row>
    <row r="151" spans="2:3" x14ac:dyDescent="0.3">
      <c r="B151" s="45"/>
      <c r="C151" s="8"/>
    </row>
    <row r="152" spans="2:3" x14ac:dyDescent="0.3">
      <c r="B152" s="45"/>
      <c r="C152" s="8"/>
    </row>
    <row r="153" spans="2:3" x14ac:dyDescent="0.3">
      <c r="B153" s="45"/>
      <c r="C153" s="8"/>
    </row>
    <row r="154" spans="2:3" x14ac:dyDescent="0.3">
      <c r="B154" s="45"/>
      <c r="C154" s="8"/>
    </row>
    <row r="155" spans="2:3" x14ac:dyDescent="0.3">
      <c r="B155" s="45"/>
      <c r="C155" s="8"/>
    </row>
    <row r="156" spans="2:3" x14ac:dyDescent="0.3">
      <c r="B156" s="45"/>
      <c r="C156" s="8"/>
    </row>
    <row r="157" spans="2:3" x14ac:dyDescent="0.3">
      <c r="B157" s="45"/>
      <c r="C157" s="8"/>
    </row>
    <row r="158" spans="2:3" x14ac:dyDescent="0.3">
      <c r="B158" s="45"/>
      <c r="C158" s="8"/>
    </row>
    <row r="159" spans="2:3" x14ac:dyDescent="0.3">
      <c r="B159" s="45"/>
      <c r="C159" s="8"/>
    </row>
    <row r="160" spans="2:3" x14ac:dyDescent="0.3">
      <c r="B160" s="45"/>
      <c r="C160" s="8"/>
    </row>
    <row r="161" spans="2:3" x14ac:dyDescent="0.3">
      <c r="B161" s="45"/>
      <c r="C161" s="8"/>
    </row>
    <row r="162" spans="2:3" x14ac:dyDescent="0.3">
      <c r="B162" s="45"/>
      <c r="C162" s="8"/>
    </row>
    <row r="163" spans="2:3" x14ac:dyDescent="0.3">
      <c r="B163" s="45"/>
      <c r="C163" s="8"/>
    </row>
    <row r="164" spans="2:3" x14ac:dyDescent="0.3">
      <c r="B164" s="45"/>
      <c r="C164" s="8"/>
    </row>
    <row r="165" spans="2:3" x14ac:dyDescent="0.3">
      <c r="B165" s="45"/>
      <c r="C165" s="8"/>
    </row>
    <row r="166" spans="2:3" x14ac:dyDescent="0.3">
      <c r="B166" s="45"/>
      <c r="C166" s="8"/>
    </row>
    <row r="167" spans="2:3" x14ac:dyDescent="0.3">
      <c r="B167" s="45"/>
      <c r="C167" s="8"/>
    </row>
    <row r="168" spans="2:3" x14ac:dyDescent="0.3">
      <c r="B168" s="45"/>
      <c r="C168" s="8"/>
    </row>
    <row r="169" spans="2:3" x14ac:dyDescent="0.3">
      <c r="B169" s="45"/>
      <c r="C169" s="8"/>
    </row>
    <row r="170" spans="2:3" x14ac:dyDescent="0.3">
      <c r="B170" s="45"/>
      <c r="C170" s="8"/>
    </row>
    <row r="171" spans="2:3" x14ac:dyDescent="0.3">
      <c r="B171" s="45"/>
      <c r="C171" s="8"/>
    </row>
    <row r="172" spans="2:3" x14ac:dyDescent="0.3">
      <c r="B172" s="45"/>
      <c r="C172" s="8"/>
    </row>
    <row r="173" spans="2:3" x14ac:dyDescent="0.3">
      <c r="B173" s="45"/>
      <c r="C173" s="8"/>
    </row>
    <row r="174" spans="2:3" x14ac:dyDescent="0.3">
      <c r="B174" s="45"/>
      <c r="C174" s="8"/>
    </row>
    <row r="175" spans="2:3" x14ac:dyDescent="0.3">
      <c r="B175" s="45"/>
      <c r="C175" s="8"/>
    </row>
    <row r="176" spans="2:3" x14ac:dyDescent="0.3">
      <c r="B176" s="45"/>
      <c r="C176" s="8"/>
    </row>
    <row r="177" spans="2:3" x14ac:dyDescent="0.3">
      <c r="B177" s="45"/>
      <c r="C177" s="8"/>
    </row>
    <row r="178" spans="2:3" x14ac:dyDescent="0.3">
      <c r="B178" s="45"/>
      <c r="C178" s="8"/>
    </row>
    <row r="179" spans="2:3" x14ac:dyDescent="0.3">
      <c r="B179" s="45"/>
      <c r="C179" s="8"/>
    </row>
    <row r="180" spans="2:3" x14ac:dyDescent="0.3">
      <c r="B180" s="45"/>
      <c r="C180" s="8"/>
    </row>
    <row r="181" spans="2:3" x14ac:dyDescent="0.3">
      <c r="B181" s="45"/>
      <c r="C181" s="8"/>
    </row>
    <row r="182" spans="2:3" x14ac:dyDescent="0.3">
      <c r="B182" s="45"/>
      <c r="C182" s="8"/>
    </row>
    <row r="183" spans="2:3" x14ac:dyDescent="0.3">
      <c r="B183" s="45"/>
      <c r="C183" s="8"/>
    </row>
    <row r="184" spans="2:3" x14ac:dyDescent="0.3">
      <c r="B184" s="45"/>
      <c r="C184" s="8"/>
    </row>
    <row r="185" spans="2:3" x14ac:dyDescent="0.3">
      <c r="B185" s="45"/>
      <c r="C185" s="8"/>
    </row>
    <row r="186" spans="2:3" x14ac:dyDescent="0.3">
      <c r="B186" s="45"/>
      <c r="C186" s="8"/>
    </row>
    <row r="187" spans="2:3" x14ac:dyDescent="0.3">
      <c r="B187" s="45"/>
      <c r="C187" s="8"/>
    </row>
    <row r="188" spans="2:3" x14ac:dyDescent="0.3">
      <c r="B188" s="45"/>
      <c r="C188" s="8"/>
    </row>
    <row r="189" spans="2:3" x14ac:dyDescent="0.3">
      <c r="B189" s="45"/>
      <c r="C189" s="8"/>
    </row>
    <row r="190" spans="2:3" x14ac:dyDescent="0.3">
      <c r="B190" s="45"/>
      <c r="C190" s="8"/>
    </row>
    <row r="191" spans="2:3" x14ac:dyDescent="0.3">
      <c r="B191" s="45"/>
      <c r="C191" s="8"/>
    </row>
    <row r="192" spans="2:3" x14ac:dyDescent="0.3">
      <c r="B192" s="45"/>
      <c r="C192" s="8"/>
    </row>
    <row r="193" spans="2:3" x14ac:dyDescent="0.3">
      <c r="B193" s="45"/>
      <c r="C193" s="8"/>
    </row>
    <row r="194" spans="2:3" x14ac:dyDescent="0.3">
      <c r="B194" s="45"/>
      <c r="C194" s="8"/>
    </row>
    <row r="195" spans="2:3" x14ac:dyDescent="0.3">
      <c r="B195" s="45"/>
      <c r="C195" s="8"/>
    </row>
    <row r="196" spans="2:3" x14ac:dyDescent="0.3">
      <c r="B196" s="45"/>
      <c r="C196" s="8"/>
    </row>
    <row r="197" spans="2:3" x14ac:dyDescent="0.3">
      <c r="B197" s="45"/>
      <c r="C197" s="8"/>
    </row>
    <row r="198" spans="2:3" x14ac:dyDescent="0.3">
      <c r="B198" s="45"/>
      <c r="C198" s="8"/>
    </row>
    <row r="199" spans="2:3" x14ac:dyDescent="0.3">
      <c r="B199" s="45"/>
      <c r="C199" s="8"/>
    </row>
    <row r="200" spans="2:3" x14ac:dyDescent="0.3">
      <c r="B200" s="45"/>
      <c r="C200" s="8"/>
    </row>
    <row r="201" spans="2:3" x14ac:dyDescent="0.3">
      <c r="B201" s="45"/>
      <c r="C201" s="8"/>
    </row>
    <row r="202" spans="2:3" x14ac:dyDescent="0.3">
      <c r="B202" s="45"/>
      <c r="C202" s="8"/>
    </row>
    <row r="203" spans="2:3" x14ac:dyDescent="0.3">
      <c r="B203" s="45"/>
      <c r="C203" s="8"/>
    </row>
    <row r="204" spans="2:3" x14ac:dyDescent="0.3">
      <c r="B204" s="45"/>
      <c r="C204" s="8"/>
    </row>
    <row r="205" spans="2:3" x14ac:dyDescent="0.3">
      <c r="B205" s="45"/>
      <c r="C205" s="8"/>
    </row>
    <row r="206" spans="2:3" x14ac:dyDescent="0.3">
      <c r="B206" s="45"/>
      <c r="C206" s="8"/>
    </row>
    <row r="207" spans="2:3" x14ac:dyDescent="0.3">
      <c r="B207" s="45"/>
      <c r="C207" s="8"/>
    </row>
    <row r="208" spans="2:3" x14ac:dyDescent="0.3">
      <c r="B208" s="45"/>
      <c r="C208" s="8"/>
    </row>
    <row r="209" spans="2:3" x14ac:dyDescent="0.3">
      <c r="B209" s="45"/>
      <c r="C209" s="8"/>
    </row>
    <row r="210" spans="2:3" x14ac:dyDescent="0.3">
      <c r="B210" s="45"/>
      <c r="C210" s="8"/>
    </row>
    <row r="211" spans="2:3" x14ac:dyDescent="0.3">
      <c r="B211" s="45"/>
      <c r="C211" s="8"/>
    </row>
    <row r="212" spans="2:3" x14ac:dyDescent="0.3">
      <c r="B212" s="45"/>
      <c r="C212" s="8"/>
    </row>
    <row r="213" spans="2:3" x14ac:dyDescent="0.3">
      <c r="B213" s="45"/>
      <c r="C213" s="8"/>
    </row>
    <row r="214" spans="2:3" x14ac:dyDescent="0.3">
      <c r="B214" s="45"/>
      <c r="C214" s="8"/>
    </row>
    <row r="215" spans="2:3" x14ac:dyDescent="0.3">
      <c r="B215" s="45"/>
      <c r="C215" s="8"/>
    </row>
    <row r="216" spans="2:3" x14ac:dyDescent="0.3">
      <c r="B216" s="45"/>
      <c r="C216" s="8"/>
    </row>
    <row r="217" spans="2:3" x14ac:dyDescent="0.3">
      <c r="B217" s="45"/>
      <c r="C217" s="8"/>
    </row>
    <row r="218" spans="2:3" x14ac:dyDescent="0.3">
      <c r="B218" s="45"/>
      <c r="C218" s="8"/>
    </row>
    <row r="219" spans="2:3" x14ac:dyDescent="0.3">
      <c r="B219" s="45"/>
      <c r="C219" s="8"/>
    </row>
    <row r="220" spans="2:3" x14ac:dyDescent="0.3">
      <c r="B220" s="45"/>
      <c r="C220" s="8"/>
    </row>
    <row r="221" spans="2:3" x14ac:dyDescent="0.3">
      <c r="B221" s="45"/>
      <c r="C221" s="8"/>
    </row>
    <row r="222" spans="2:3" x14ac:dyDescent="0.3">
      <c r="B222" s="45"/>
      <c r="C222" s="8"/>
    </row>
    <row r="223" spans="2:3" x14ac:dyDescent="0.3">
      <c r="B223" s="45"/>
      <c r="C223" s="8"/>
    </row>
    <row r="224" spans="2:3" x14ac:dyDescent="0.3">
      <c r="B224" s="45"/>
      <c r="C224" s="8"/>
    </row>
    <row r="225" spans="2:3" x14ac:dyDescent="0.3">
      <c r="B225" s="45"/>
      <c r="C225" s="8"/>
    </row>
    <row r="226" spans="2:3" x14ac:dyDescent="0.3">
      <c r="B226" s="45"/>
      <c r="C226" s="8"/>
    </row>
    <row r="227" spans="2:3" x14ac:dyDescent="0.3">
      <c r="B227" s="45"/>
      <c r="C227" s="8"/>
    </row>
    <row r="228" spans="2:3" x14ac:dyDescent="0.3">
      <c r="B228" s="45"/>
      <c r="C228" s="8"/>
    </row>
    <row r="229" spans="2:3" x14ac:dyDescent="0.3">
      <c r="B229" s="45"/>
      <c r="C229" s="8"/>
    </row>
    <row r="230" spans="2:3" x14ac:dyDescent="0.3">
      <c r="B230" s="45"/>
      <c r="C230" s="8"/>
    </row>
    <row r="231" spans="2:3" x14ac:dyDescent="0.3">
      <c r="B231" s="45"/>
      <c r="C231" s="8"/>
    </row>
    <row r="232" spans="2:3" x14ac:dyDescent="0.3">
      <c r="B232" s="45"/>
      <c r="C232" s="8"/>
    </row>
    <row r="233" spans="2:3" x14ac:dyDescent="0.3">
      <c r="B233" s="45"/>
      <c r="C233" s="8"/>
    </row>
    <row r="234" spans="2:3" x14ac:dyDescent="0.3">
      <c r="B234" s="45"/>
      <c r="C234" s="8"/>
    </row>
    <row r="235" spans="2:3" x14ac:dyDescent="0.3">
      <c r="B235" s="45"/>
      <c r="C235" s="8"/>
    </row>
    <row r="236" spans="2:3" x14ac:dyDescent="0.3">
      <c r="B236" s="45"/>
      <c r="C236" s="8"/>
    </row>
    <row r="237" spans="2:3" x14ac:dyDescent="0.3">
      <c r="B237" s="45"/>
      <c r="C237" s="8"/>
    </row>
    <row r="238" spans="2:3" x14ac:dyDescent="0.3">
      <c r="B238" s="45"/>
      <c r="C238" s="8"/>
    </row>
    <row r="239" spans="2:3" x14ac:dyDescent="0.3">
      <c r="B239" s="45"/>
      <c r="C239" s="8"/>
    </row>
    <row r="240" spans="2:3" x14ac:dyDescent="0.3">
      <c r="B240" s="45"/>
      <c r="C240" s="8"/>
    </row>
    <row r="241" spans="2:3" x14ac:dyDescent="0.3">
      <c r="B241" s="45"/>
      <c r="C241" s="8"/>
    </row>
    <row r="242" spans="2:3" x14ac:dyDescent="0.3">
      <c r="B242" s="45"/>
      <c r="C242" s="8"/>
    </row>
    <row r="243" spans="2:3" x14ac:dyDescent="0.3">
      <c r="B243" s="45"/>
      <c r="C243" s="8"/>
    </row>
    <row r="244" spans="2:3" x14ac:dyDescent="0.3">
      <c r="B244" s="45"/>
      <c r="C244" s="8"/>
    </row>
    <row r="245" spans="2:3" x14ac:dyDescent="0.3">
      <c r="B245" s="45"/>
      <c r="C245" s="8"/>
    </row>
    <row r="246" spans="2:3" x14ac:dyDescent="0.3">
      <c r="B246" s="45"/>
      <c r="C246" s="8"/>
    </row>
    <row r="247" spans="2:3" x14ac:dyDescent="0.3">
      <c r="B247" s="45"/>
      <c r="C247" s="8"/>
    </row>
    <row r="248" spans="2:3" x14ac:dyDescent="0.3">
      <c r="B248" s="45"/>
      <c r="C248" s="8"/>
    </row>
    <row r="249" spans="2:3" x14ac:dyDescent="0.3">
      <c r="B249" s="45"/>
      <c r="C249" s="8"/>
    </row>
    <row r="250" spans="2:3" x14ac:dyDescent="0.3">
      <c r="B250" s="45"/>
      <c r="C250" s="8"/>
    </row>
    <row r="251" spans="2:3" x14ac:dyDescent="0.3">
      <c r="B251" s="45"/>
      <c r="C251" s="8"/>
    </row>
    <row r="252" spans="2:3" x14ac:dyDescent="0.3">
      <c r="B252" s="45"/>
      <c r="C252" s="8"/>
    </row>
    <row r="253" spans="2:3" x14ac:dyDescent="0.3">
      <c r="B253" s="45"/>
      <c r="C253" s="8"/>
    </row>
    <row r="254" spans="2:3" x14ac:dyDescent="0.3">
      <c r="B254" s="45"/>
      <c r="C254" s="8"/>
    </row>
    <row r="255" spans="2:3" x14ac:dyDescent="0.3">
      <c r="B255" s="45"/>
      <c r="C255" s="8"/>
    </row>
    <row r="256" spans="2:3" x14ac:dyDescent="0.3">
      <c r="B256" s="45"/>
      <c r="C256" s="8"/>
    </row>
    <row r="257" spans="2:3" x14ac:dyDescent="0.3">
      <c r="B257" s="45"/>
      <c r="C257" s="8"/>
    </row>
    <row r="258" spans="2:3" x14ac:dyDescent="0.3">
      <c r="B258" s="45"/>
      <c r="C258" s="8"/>
    </row>
    <row r="259" spans="2:3" x14ac:dyDescent="0.3">
      <c r="B259" s="45"/>
      <c r="C259" s="8"/>
    </row>
    <row r="260" spans="2:3" x14ac:dyDescent="0.3">
      <c r="B260" s="45"/>
      <c r="C260" s="8"/>
    </row>
    <row r="261" spans="2:3" x14ac:dyDescent="0.3">
      <c r="B261" s="45"/>
      <c r="C261" s="8"/>
    </row>
    <row r="262" spans="2:3" x14ac:dyDescent="0.3">
      <c r="B262" s="45"/>
      <c r="C262" s="8"/>
    </row>
    <row r="263" spans="2:3" x14ac:dyDescent="0.3">
      <c r="B263" s="45"/>
      <c r="C263" s="8"/>
    </row>
    <row r="264" spans="2:3" x14ac:dyDescent="0.3">
      <c r="B264" s="45"/>
      <c r="C264" s="8"/>
    </row>
    <row r="265" spans="2:3" x14ac:dyDescent="0.3">
      <c r="B265" s="45"/>
      <c r="C265" s="8"/>
    </row>
    <row r="266" spans="2:3" x14ac:dyDescent="0.3">
      <c r="B266" s="45"/>
      <c r="C266" s="8"/>
    </row>
    <row r="267" spans="2:3" x14ac:dyDescent="0.3">
      <c r="B267" s="45"/>
      <c r="C267" s="8"/>
    </row>
    <row r="268" spans="2:3" x14ac:dyDescent="0.3">
      <c r="B268" s="45"/>
      <c r="C268" s="8"/>
    </row>
    <row r="269" spans="2:3" x14ac:dyDescent="0.3">
      <c r="B269" s="45"/>
      <c r="C269" s="8"/>
    </row>
    <row r="270" spans="2:3" x14ac:dyDescent="0.3">
      <c r="B270" s="45"/>
      <c r="C270" s="8"/>
    </row>
    <row r="271" spans="2:3" x14ac:dyDescent="0.3">
      <c r="B271" s="45"/>
      <c r="C271" s="8"/>
    </row>
    <row r="272" spans="2:3" x14ac:dyDescent="0.3">
      <c r="B272" s="45"/>
      <c r="C272" s="8"/>
    </row>
    <row r="273" spans="2:3" x14ac:dyDescent="0.3">
      <c r="B273" s="45"/>
      <c r="C273" s="8"/>
    </row>
    <row r="274" spans="2:3" x14ac:dyDescent="0.3">
      <c r="B274" s="45"/>
      <c r="C274" s="8"/>
    </row>
    <row r="275" spans="2:3" x14ac:dyDescent="0.3">
      <c r="B275" s="45"/>
      <c r="C275" s="8"/>
    </row>
    <row r="276" spans="2:3" x14ac:dyDescent="0.3">
      <c r="B276" s="45"/>
      <c r="C276" s="8"/>
    </row>
    <row r="277" spans="2:3" x14ac:dyDescent="0.3">
      <c r="B277" s="45"/>
      <c r="C277" s="8"/>
    </row>
    <row r="278" spans="2:3" x14ac:dyDescent="0.3">
      <c r="B278" s="45"/>
      <c r="C278" s="8"/>
    </row>
    <row r="279" spans="2:3" x14ac:dyDescent="0.3">
      <c r="B279" s="45"/>
      <c r="C279" s="8"/>
    </row>
    <row r="280" spans="2:3" x14ac:dyDescent="0.3">
      <c r="B280" s="45"/>
      <c r="C280" s="8"/>
    </row>
    <row r="281" spans="2:3" x14ac:dyDescent="0.3">
      <c r="B281" s="45"/>
      <c r="C281" s="8"/>
    </row>
    <row r="282" spans="2:3" x14ac:dyDescent="0.3">
      <c r="B282" s="45"/>
      <c r="C282" s="8"/>
    </row>
    <row r="283" spans="2:3" x14ac:dyDescent="0.3">
      <c r="B283" s="45"/>
      <c r="C283" s="8"/>
    </row>
    <row r="284" spans="2:3" x14ac:dyDescent="0.3">
      <c r="B284" s="45"/>
      <c r="C284" s="8"/>
    </row>
    <row r="285" spans="2:3" x14ac:dyDescent="0.3">
      <c r="B285" s="45"/>
      <c r="C285" s="8"/>
    </row>
    <row r="286" spans="2:3" x14ac:dyDescent="0.3">
      <c r="B286" s="45"/>
      <c r="C286" s="8"/>
    </row>
    <row r="287" spans="2:3" x14ac:dyDescent="0.3">
      <c r="B287" s="45"/>
      <c r="C287" s="8"/>
    </row>
    <row r="288" spans="2:3" x14ac:dyDescent="0.3">
      <c r="B288" s="45"/>
      <c r="C288" s="8"/>
    </row>
    <row r="289" spans="2:3" x14ac:dyDescent="0.3">
      <c r="B289" s="45"/>
      <c r="C289" s="8"/>
    </row>
    <row r="290" spans="2:3" x14ac:dyDescent="0.3">
      <c r="B290" s="45"/>
      <c r="C290" s="8"/>
    </row>
    <row r="291" spans="2:3" x14ac:dyDescent="0.3">
      <c r="B291" s="45"/>
      <c r="C291" s="8"/>
    </row>
    <row r="292" spans="2:3" x14ac:dyDescent="0.3">
      <c r="B292" s="45"/>
      <c r="C292" s="8"/>
    </row>
    <row r="293" spans="2:3" x14ac:dyDescent="0.3">
      <c r="B293" s="45"/>
      <c r="C293" s="8"/>
    </row>
    <row r="294" spans="2:3" x14ac:dyDescent="0.3">
      <c r="B294" s="45"/>
      <c r="C294" s="8"/>
    </row>
    <row r="295" spans="2:3" x14ac:dyDescent="0.3">
      <c r="B295" s="45"/>
      <c r="C295" s="8"/>
    </row>
    <row r="296" spans="2:3" x14ac:dyDescent="0.3">
      <c r="B296" s="45"/>
      <c r="C296" s="8"/>
    </row>
    <row r="297" spans="2:3" x14ac:dyDescent="0.3">
      <c r="B297" s="45"/>
      <c r="C297" s="8"/>
    </row>
    <row r="298" spans="2:3" x14ac:dyDescent="0.3">
      <c r="B298" s="45"/>
      <c r="C298" s="8"/>
    </row>
    <row r="299" spans="2:3" x14ac:dyDescent="0.3">
      <c r="B299" s="45"/>
      <c r="C299" s="8"/>
    </row>
    <row r="300" spans="2:3" x14ac:dyDescent="0.3">
      <c r="B300" s="45"/>
      <c r="C300" s="8"/>
    </row>
    <row r="301" spans="2:3" x14ac:dyDescent="0.3">
      <c r="B301" s="45"/>
      <c r="C301" s="8"/>
    </row>
    <row r="302" spans="2:3" x14ac:dyDescent="0.3">
      <c r="B302" s="45"/>
      <c r="C302" s="8"/>
    </row>
    <row r="303" spans="2:3" x14ac:dyDescent="0.3">
      <c r="B303" s="45"/>
      <c r="C303" s="8"/>
    </row>
    <row r="304" spans="2:3" x14ac:dyDescent="0.3">
      <c r="B304" s="45"/>
      <c r="C304" s="8"/>
    </row>
    <row r="305" spans="2:3" x14ac:dyDescent="0.3">
      <c r="B305" s="45"/>
      <c r="C305" s="8"/>
    </row>
    <row r="306" spans="2:3" x14ac:dyDescent="0.3">
      <c r="B306" s="45"/>
      <c r="C306" s="8"/>
    </row>
    <row r="307" spans="2:3" x14ac:dyDescent="0.3">
      <c r="B307" s="45"/>
      <c r="C307" s="8"/>
    </row>
    <row r="308" spans="2:3" x14ac:dyDescent="0.3">
      <c r="B308" s="45"/>
      <c r="C308" s="8"/>
    </row>
    <row r="309" spans="2:3" x14ac:dyDescent="0.3">
      <c r="B309" s="45"/>
      <c r="C309" s="8"/>
    </row>
    <row r="310" spans="2:3" x14ac:dyDescent="0.3">
      <c r="B310" s="45"/>
      <c r="C310" s="8"/>
    </row>
    <row r="311" spans="2:3" x14ac:dyDescent="0.3">
      <c r="B311" s="45"/>
      <c r="C311" s="8"/>
    </row>
    <row r="312" spans="2:3" x14ac:dyDescent="0.3">
      <c r="B312" s="45"/>
      <c r="C312" s="8"/>
    </row>
    <row r="313" spans="2:3" x14ac:dyDescent="0.3">
      <c r="B313" s="45"/>
      <c r="C313" s="8"/>
    </row>
    <row r="314" spans="2:3" x14ac:dyDescent="0.3">
      <c r="B314" s="45"/>
      <c r="C314" s="8"/>
    </row>
    <row r="315" spans="2:3" x14ac:dyDescent="0.3">
      <c r="B315" s="45"/>
      <c r="C315" s="8"/>
    </row>
    <row r="316" spans="2:3" x14ac:dyDescent="0.3">
      <c r="B316" s="45"/>
      <c r="C316" s="8"/>
    </row>
    <row r="317" spans="2:3" x14ac:dyDescent="0.3">
      <c r="B317" s="45"/>
      <c r="C317" s="8"/>
    </row>
    <row r="318" spans="2:3" x14ac:dyDescent="0.3">
      <c r="B318" s="45"/>
      <c r="C318" s="8"/>
    </row>
    <row r="319" spans="2:3" x14ac:dyDescent="0.3">
      <c r="B319" s="45"/>
      <c r="C319" s="8"/>
    </row>
    <row r="320" spans="2:3" x14ac:dyDescent="0.3">
      <c r="B320" s="45"/>
      <c r="C320" s="8"/>
    </row>
    <row r="321" spans="2:3" x14ac:dyDescent="0.3">
      <c r="B321" s="45"/>
      <c r="C321" s="8"/>
    </row>
    <row r="322" spans="2:3" x14ac:dyDescent="0.3">
      <c r="B322" s="45"/>
      <c r="C322" s="8"/>
    </row>
    <row r="323" spans="2:3" x14ac:dyDescent="0.3">
      <c r="B323" s="45"/>
      <c r="C323" s="8"/>
    </row>
    <row r="324" spans="2:3" x14ac:dyDescent="0.3">
      <c r="B324" s="45"/>
      <c r="C324" s="8"/>
    </row>
    <row r="325" spans="2:3" x14ac:dyDescent="0.3">
      <c r="B325" s="45"/>
      <c r="C325" s="8"/>
    </row>
    <row r="326" spans="2:3" x14ac:dyDescent="0.3">
      <c r="B326" s="45"/>
      <c r="C326" s="8"/>
    </row>
    <row r="327" spans="2:3" x14ac:dyDescent="0.3">
      <c r="B327" s="45"/>
      <c r="C327" s="8"/>
    </row>
    <row r="328" spans="2:3" x14ac:dyDescent="0.3">
      <c r="B328" s="45"/>
      <c r="C328" s="8"/>
    </row>
    <row r="329" spans="2:3" x14ac:dyDescent="0.3">
      <c r="B329" s="45"/>
      <c r="C329" s="8"/>
    </row>
    <row r="330" spans="2:3" x14ac:dyDescent="0.3">
      <c r="B330" s="45"/>
      <c r="C330" s="8"/>
    </row>
    <row r="331" spans="2:3" x14ac:dyDescent="0.3">
      <c r="B331" s="45"/>
      <c r="C331" s="8"/>
    </row>
    <row r="332" spans="2:3" x14ac:dyDescent="0.3">
      <c r="B332" s="45"/>
      <c r="C332" s="8"/>
    </row>
    <row r="333" spans="2:3" x14ac:dyDescent="0.3">
      <c r="B333" s="45"/>
      <c r="C333" s="8"/>
    </row>
    <row r="334" spans="2:3" x14ac:dyDescent="0.3">
      <c r="B334" s="45"/>
      <c r="C334" s="8"/>
    </row>
    <row r="335" spans="2:3" x14ac:dyDescent="0.3">
      <c r="B335" s="45"/>
      <c r="C335" s="8"/>
    </row>
    <row r="336" spans="2:3" x14ac:dyDescent="0.3">
      <c r="B336" s="45"/>
      <c r="C336" s="8"/>
    </row>
    <row r="337" spans="2:3" x14ac:dyDescent="0.3">
      <c r="B337" s="45"/>
      <c r="C337" s="8"/>
    </row>
    <row r="338" spans="2:3" x14ac:dyDescent="0.3">
      <c r="B338" s="45"/>
      <c r="C338" s="8"/>
    </row>
    <row r="339" spans="2:3" x14ac:dyDescent="0.3">
      <c r="B339" s="45"/>
      <c r="C339" s="8"/>
    </row>
    <row r="340" spans="2:3" x14ac:dyDescent="0.3">
      <c r="B340" s="45"/>
      <c r="C340" s="8"/>
    </row>
    <row r="341" spans="2:3" x14ac:dyDescent="0.3">
      <c r="B341" s="45"/>
      <c r="C341" s="8"/>
    </row>
    <row r="342" spans="2:3" x14ac:dyDescent="0.3">
      <c r="B342" s="45"/>
      <c r="C342" s="8"/>
    </row>
    <row r="343" spans="2:3" x14ac:dyDescent="0.3">
      <c r="B343" s="45"/>
      <c r="C343" s="8"/>
    </row>
    <row r="344" spans="2:3" x14ac:dyDescent="0.3">
      <c r="B344" s="45"/>
      <c r="C344" s="8"/>
    </row>
    <row r="345" spans="2:3" x14ac:dyDescent="0.3">
      <c r="B345" s="45"/>
      <c r="C345" s="8"/>
    </row>
    <row r="346" spans="2:3" x14ac:dyDescent="0.3">
      <c r="B346" s="45"/>
      <c r="C346" s="8"/>
    </row>
    <row r="347" spans="2:3" x14ac:dyDescent="0.3">
      <c r="B347" s="45"/>
      <c r="C347" s="8"/>
    </row>
    <row r="348" spans="2:3" x14ac:dyDescent="0.3">
      <c r="B348" s="45"/>
      <c r="C348" s="8"/>
    </row>
    <row r="349" spans="2:3" x14ac:dyDescent="0.3">
      <c r="B349" s="45"/>
      <c r="C349" s="8"/>
    </row>
    <row r="350" spans="2:3" x14ac:dyDescent="0.3">
      <c r="B350" s="45"/>
      <c r="C350" s="8"/>
    </row>
    <row r="351" spans="2:3" x14ac:dyDescent="0.3">
      <c r="B351" s="45"/>
      <c r="C351" s="8"/>
    </row>
    <row r="352" spans="2:3" x14ac:dyDescent="0.3">
      <c r="B352" s="45"/>
      <c r="C352" s="8"/>
    </row>
    <row r="353" spans="2:3" x14ac:dyDescent="0.3">
      <c r="B353" s="45"/>
      <c r="C353" s="8"/>
    </row>
    <row r="354" spans="2:3" x14ac:dyDescent="0.3">
      <c r="B354" s="45"/>
      <c r="C354" s="8"/>
    </row>
    <row r="355" spans="2:3" x14ac:dyDescent="0.3">
      <c r="B355" s="45"/>
      <c r="C355" s="8"/>
    </row>
    <row r="356" spans="2:3" x14ac:dyDescent="0.3">
      <c r="B356" s="45"/>
      <c r="C356" s="8"/>
    </row>
    <row r="357" spans="2:3" x14ac:dyDescent="0.3">
      <c r="B357" s="45"/>
      <c r="C357" s="8"/>
    </row>
    <row r="358" spans="2:3" x14ac:dyDescent="0.3">
      <c r="B358" s="45"/>
      <c r="C358" s="8"/>
    </row>
    <row r="359" spans="2:3" x14ac:dyDescent="0.3">
      <c r="B359" s="45"/>
      <c r="C359" s="8"/>
    </row>
    <row r="360" spans="2:3" x14ac:dyDescent="0.3">
      <c r="B360" s="45"/>
      <c r="C360" s="8"/>
    </row>
    <row r="361" spans="2:3" x14ac:dyDescent="0.3">
      <c r="B361" s="45"/>
      <c r="C361" s="8"/>
    </row>
    <row r="362" spans="2:3" x14ac:dyDescent="0.3">
      <c r="B362" s="45"/>
      <c r="C362" s="8"/>
    </row>
    <row r="363" spans="2:3" x14ac:dyDescent="0.3">
      <c r="B363" s="45"/>
      <c r="C363" s="8"/>
    </row>
    <row r="364" spans="2:3" x14ac:dyDescent="0.3">
      <c r="B364" s="45"/>
      <c r="C364" s="8"/>
    </row>
    <row r="365" spans="2:3" x14ac:dyDescent="0.3">
      <c r="B365" s="45"/>
      <c r="C365" s="8"/>
    </row>
    <row r="366" spans="2:3" x14ac:dyDescent="0.3">
      <c r="B366" s="45"/>
      <c r="C366" s="8"/>
    </row>
    <row r="367" spans="2:3" x14ac:dyDescent="0.3">
      <c r="B367" s="45"/>
      <c r="C367" s="8"/>
    </row>
    <row r="368" spans="2:3" x14ac:dyDescent="0.3">
      <c r="B368" s="45"/>
      <c r="C368" s="8"/>
    </row>
    <row r="369" spans="2:3" x14ac:dyDescent="0.3">
      <c r="B369" s="45"/>
      <c r="C369" s="8"/>
    </row>
    <row r="370" spans="2:3" x14ac:dyDescent="0.3">
      <c r="B370" s="45"/>
      <c r="C370" s="8"/>
    </row>
    <row r="371" spans="2:3" x14ac:dyDescent="0.3">
      <c r="B371" s="45"/>
      <c r="C371" s="8"/>
    </row>
    <row r="372" spans="2:3" x14ac:dyDescent="0.3">
      <c r="B372" s="45"/>
      <c r="C372" s="8"/>
    </row>
    <row r="373" spans="2:3" x14ac:dyDescent="0.3">
      <c r="B373" s="45"/>
      <c r="C373" s="8"/>
    </row>
    <row r="374" spans="2:3" x14ac:dyDescent="0.3">
      <c r="B374" s="45"/>
      <c r="C374" s="8"/>
    </row>
    <row r="375" spans="2:3" x14ac:dyDescent="0.3">
      <c r="B375" s="45"/>
      <c r="C375" s="8"/>
    </row>
    <row r="376" spans="2:3" x14ac:dyDescent="0.3">
      <c r="B376" s="45"/>
      <c r="C376" s="8"/>
    </row>
    <row r="377" spans="2:3" x14ac:dyDescent="0.3">
      <c r="B377" s="45"/>
      <c r="C377" s="8"/>
    </row>
    <row r="378" spans="2:3" x14ac:dyDescent="0.3">
      <c r="B378" s="45"/>
      <c r="C378" s="8"/>
    </row>
    <row r="379" spans="2:3" x14ac:dyDescent="0.3">
      <c r="B379" s="45"/>
      <c r="C379" s="8"/>
    </row>
    <row r="380" spans="2:3" x14ac:dyDescent="0.3">
      <c r="B380" s="45"/>
      <c r="C380" s="8"/>
    </row>
    <row r="381" spans="2:3" x14ac:dyDescent="0.3">
      <c r="B381" s="45"/>
      <c r="C381" s="8"/>
    </row>
    <row r="382" spans="2:3" x14ac:dyDescent="0.3">
      <c r="B382" s="45"/>
      <c r="C382" s="8"/>
    </row>
    <row r="383" spans="2:3" x14ac:dyDescent="0.3">
      <c r="B383" s="45"/>
      <c r="C383" s="8"/>
    </row>
    <row r="384" spans="2:3" x14ac:dyDescent="0.3">
      <c r="B384" s="45"/>
      <c r="C384" s="8"/>
    </row>
    <row r="385" spans="2:3" x14ac:dyDescent="0.3">
      <c r="B385" s="45"/>
      <c r="C385" s="8"/>
    </row>
    <row r="386" spans="2:3" x14ac:dyDescent="0.3">
      <c r="B386" s="45"/>
      <c r="C386" s="8"/>
    </row>
    <row r="387" spans="2:3" x14ac:dyDescent="0.3">
      <c r="B387" s="45"/>
      <c r="C387" s="8"/>
    </row>
    <row r="388" spans="2:3" x14ac:dyDescent="0.3">
      <c r="B388" s="45"/>
      <c r="C388" s="8"/>
    </row>
    <row r="389" spans="2:3" x14ac:dyDescent="0.3">
      <c r="B389" s="45"/>
      <c r="C389" s="8"/>
    </row>
    <row r="390" spans="2:3" x14ac:dyDescent="0.3">
      <c r="B390" s="45"/>
      <c r="C390" s="8"/>
    </row>
    <row r="391" spans="2:3" x14ac:dyDescent="0.3">
      <c r="B391" s="45"/>
      <c r="C391" s="8"/>
    </row>
    <row r="392" spans="2:3" x14ac:dyDescent="0.3">
      <c r="B392" s="45"/>
      <c r="C392" s="8"/>
    </row>
    <row r="393" spans="2:3" x14ac:dyDescent="0.3">
      <c r="B393" s="45"/>
      <c r="C393" s="8"/>
    </row>
    <row r="394" spans="2:3" x14ac:dyDescent="0.3">
      <c r="B394" s="45"/>
      <c r="C394" s="8"/>
    </row>
    <row r="395" spans="2:3" x14ac:dyDescent="0.3">
      <c r="B395" s="45"/>
      <c r="C395" s="8"/>
    </row>
    <row r="396" spans="2:3" x14ac:dyDescent="0.3">
      <c r="B396" s="45"/>
      <c r="C396" s="8"/>
    </row>
    <row r="397" spans="2:3" x14ac:dyDescent="0.3">
      <c r="B397" s="45"/>
      <c r="C397" s="8"/>
    </row>
    <row r="398" spans="2:3" x14ac:dyDescent="0.3">
      <c r="B398" s="45"/>
      <c r="C398" s="8"/>
    </row>
    <row r="399" spans="2:3" x14ac:dyDescent="0.3">
      <c r="B399" s="45"/>
      <c r="C399" s="8"/>
    </row>
    <row r="400" spans="2:3" x14ac:dyDescent="0.3">
      <c r="B400" s="45"/>
      <c r="C400" s="8"/>
    </row>
    <row r="401" spans="2:3" x14ac:dyDescent="0.3">
      <c r="B401" s="45"/>
      <c r="C401" s="8"/>
    </row>
    <row r="402" spans="2:3" x14ac:dyDescent="0.3">
      <c r="B402" s="45"/>
      <c r="C402" s="8"/>
    </row>
    <row r="403" spans="2:3" x14ac:dyDescent="0.3">
      <c r="B403" s="45"/>
      <c r="C403" s="8"/>
    </row>
    <row r="404" spans="2:3" x14ac:dyDescent="0.3">
      <c r="B404" s="45"/>
      <c r="C404" s="8"/>
    </row>
    <row r="405" spans="2:3" x14ac:dyDescent="0.3">
      <c r="B405" s="45"/>
      <c r="C405" s="8"/>
    </row>
    <row r="406" spans="2:3" x14ac:dyDescent="0.3">
      <c r="B406" s="45"/>
      <c r="C406" s="8"/>
    </row>
    <row r="407" spans="2:3" x14ac:dyDescent="0.3">
      <c r="B407" s="45"/>
      <c r="C407" s="8"/>
    </row>
    <row r="408" spans="2:3" x14ac:dyDescent="0.3">
      <c r="B408" s="45"/>
      <c r="C408" s="8"/>
    </row>
    <row r="409" spans="2:3" x14ac:dyDescent="0.3">
      <c r="B409" s="45"/>
      <c r="C409" s="8"/>
    </row>
    <row r="410" spans="2:3" x14ac:dyDescent="0.3">
      <c r="B410" s="45"/>
      <c r="C410" s="8"/>
    </row>
    <row r="411" spans="2:3" x14ac:dyDescent="0.3">
      <c r="B411" s="45"/>
      <c r="C411" s="8"/>
    </row>
    <row r="412" spans="2:3" x14ac:dyDescent="0.3">
      <c r="B412" s="45"/>
      <c r="C412" s="8"/>
    </row>
    <row r="413" spans="2:3" x14ac:dyDescent="0.3">
      <c r="B413" s="45"/>
      <c r="C413" s="8"/>
    </row>
    <row r="414" spans="2:3" x14ac:dyDescent="0.3">
      <c r="B414" s="45"/>
      <c r="C414" s="8"/>
    </row>
    <row r="415" spans="2:3" x14ac:dyDescent="0.3">
      <c r="B415" s="45"/>
      <c r="C415" s="8"/>
    </row>
    <row r="416" spans="2:3" x14ac:dyDescent="0.3">
      <c r="B416" s="45"/>
      <c r="C416" s="8"/>
    </row>
    <row r="417" spans="2:3" x14ac:dyDescent="0.3">
      <c r="B417" s="45"/>
      <c r="C417" s="8"/>
    </row>
    <row r="418" spans="2:3" x14ac:dyDescent="0.3">
      <c r="B418" s="45"/>
      <c r="C418" s="8"/>
    </row>
    <row r="419" spans="2:3" x14ac:dyDescent="0.3">
      <c r="B419" s="45"/>
      <c r="C419" s="8"/>
    </row>
    <row r="420" spans="2:3" x14ac:dyDescent="0.3">
      <c r="B420" s="45"/>
      <c r="C420" s="8"/>
    </row>
    <row r="421" spans="2:3" x14ac:dyDescent="0.3">
      <c r="B421" s="45"/>
      <c r="C421" s="8"/>
    </row>
    <row r="422" spans="2:3" x14ac:dyDescent="0.3">
      <c r="B422" s="45"/>
      <c r="C422" s="8"/>
    </row>
    <row r="423" spans="2:3" x14ac:dyDescent="0.3">
      <c r="B423" s="45"/>
      <c r="C423" s="8"/>
    </row>
    <row r="424" spans="2:3" x14ac:dyDescent="0.3">
      <c r="B424" s="45"/>
      <c r="C424" s="8"/>
    </row>
    <row r="425" spans="2:3" x14ac:dyDescent="0.3">
      <c r="B425" s="45"/>
      <c r="C425" s="8"/>
    </row>
    <row r="426" spans="2:3" x14ac:dyDescent="0.3">
      <c r="B426" s="45"/>
      <c r="C426" s="8"/>
    </row>
    <row r="427" spans="2:3" x14ac:dyDescent="0.3">
      <c r="B427" s="45"/>
      <c r="C427" s="8"/>
    </row>
    <row r="428" spans="2:3" x14ac:dyDescent="0.3">
      <c r="B428" s="45"/>
      <c r="C428" s="8"/>
    </row>
    <row r="429" spans="2:3" x14ac:dyDescent="0.3">
      <c r="B429" s="45"/>
      <c r="C429" s="8"/>
    </row>
    <row r="430" spans="2:3" x14ac:dyDescent="0.3">
      <c r="B430" s="45"/>
      <c r="C430" s="8"/>
    </row>
    <row r="431" spans="2:3" x14ac:dyDescent="0.3">
      <c r="B431" s="45"/>
      <c r="C431" s="8"/>
    </row>
    <row r="432" spans="2:3" x14ac:dyDescent="0.3">
      <c r="B432" s="45"/>
      <c r="C432" s="8"/>
    </row>
    <row r="433" spans="2:3" x14ac:dyDescent="0.3">
      <c r="B433" s="45"/>
      <c r="C433" s="8"/>
    </row>
    <row r="434" spans="2:3" x14ac:dyDescent="0.3">
      <c r="B434" s="45"/>
      <c r="C434" s="8"/>
    </row>
    <row r="435" spans="2:3" x14ac:dyDescent="0.3">
      <c r="B435" s="45"/>
      <c r="C435" s="8"/>
    </row>
    <row r="436" spans="2:3" x14ac:dyDescent="0.3">
      <c r="B436" s="45"/>
      <c r="C436" s="8"/>
    </row>
    <row r="437" spans="2:3" x14ac:dyDescent="0.3">
      <c r="B437" s="45"/>
      <c r="C437" s="8"/>
    </row>
    <row r="438" spans="2:3" x14ac:dyDescent="0.3">
      <c r="B438" s="45"/>
      <c r="C438" s="8"/>
    </row>
    <row r="439" spans="2:3" x14ac:dyDescent="0.3">
      <c r="B439" s="45"/>
      <c r="C439" s="8"/>
    </row>
    <row r="440" spans="2:3" x14ac:dyDescent="0.3">
      <c r="B440" s="45"/>
      <c r="C440" s="8"/>
    </row>
    <row r="441" spans="2:3" x14ac:dyDescent="0.3">
      <c r="B441" s="45"/>
      <c r="C441" s="8"/>
    </row>
    <row r="442" spans="2:3" x14ac:dyDescent="0.3">
      <c r="B442" s="45"/>
      <c r="C442" s="8"/>
    </row>
    <row r="443" spans="2:3" x14ac:dyDescent="0.3">
      <c r="B443" s="45"/>
      <c r="C443" s="8"/>
    </row>
    <row r="444" spans="2:3" x14ac:dyDescent="0.3">
      <c r="B444" s="45"/>
      <c r="C444" s="8"/>
    </row>
    <row r="445" spans="2:3" x14ac:dyDescent="0.3">
      <c r="B445" s="45"/>
      <c r="C445" s="8"/>
    </row>
    <row r="446" spans="2:3" x14ac:dyDescent="0.3">
      <c r="B446" s="45"/>
      <c r="C446" s="8"/>
    </row>
    <row r="447" spans="2:3" x14ac:dyDescent="0.3">
      <c r="B447" s="45"/>
      <c r="C447" s="8"/>
    </row>
    <row r="448" spans="2:3" x14ac:dyDescent="0.3">
      <c r="B448" s="45"/>
      <c r="C448" s="8"/>
    </row>
    <row r="449" spans="2:3" x14ac:dyDescent="0.3">
      <c r="B449" s="45"/>
      <c r="C449" s="8"/>
    </row>
    <row r="450" spans="2:3" x14ac:dyDescent="0.3">
      <c r="B450" s="45"/>
      <c r="C450" s="8"/>
    </row>
    <row r="451" spans="2:3" x14ac:dyDescent="0.3">
      <c r="B451" s="45"/>
      <c r="C451" s="8"/>
    </row>
    <row r="452" spans="2:3" x14ac:dyDescent="0.3">
      <c r="B452" s="45"/>
      <c r="C452" s="8"/>
    </row>
    <row r="453" spans="2:3" x14ac:dyDescent="0.3">
      <c r="B453" s="45"/>
      <c r="C453" s="8"/>
    </row>
    <row r="454" spans="2:3" x14ac:dyDescent="0.3">
      <c r="B454" s="45"/>
      <c r="C454" s="8"/>
    </row>
    <row r="455" spans="2:3" x14ac:dyDescent="0.3">
      <c r="B455" s="45"/>
      <c r="C455" s="8"/>
    </row>
    <row r="456" spans="2:3" x14ac:dyDescent="0.3">
      <c r="B456" s="45"/>
      <c r="C456" s="8"/>
    </row>
    <row r="457" spans="2:3" x14ac:dyDescent="0.3">
      <c r="B457" s="45"/>
      <c r="C457" s="8"/>
    </row>
    <row r="458" spans="2:3" x14ac:dyDescent="0.3">
      <c r="B458" s="45"/>
      <c r="C458" s="8"/>
    </row>
    <row r="459" spans="2:3" x14ac:dyDescent="0.3">
      <c r="B459" s="45"/>
      <c r="C459" s="8"/>
    </row>
    <row r="460" spans="2:3" x14ac:dyDescent="0.3">
      <c r="B460" s="45"/>
      <c r="C460" s="8"/>
    </row>
    <row r="461" spans="2:3" x14ac:dyDescent="0.3">
      <c r="B461" s="45"/>
      <c r="C461" s="8"/>
    </row>
    <row r="462" spans="2:3" x14ac:dyDescent="0.3">
      <c r="B462" s="45"/>
      <c r="C462" s="8"/>
    </row>
    <row r="463" spans="2:3" x14ac:dyDescent="0.3">
      <c r="B463" s="45"/>
      <c r="C463" s="8"/>
    </row>
    <row r="464" spans="2:3" x14ac:dyDescent="0.3">
      <c r="B464" s="45"/>
      <c r="C464" s="8"/>
    </row>
    <row r="465" spans="2:3" x14ac:dyDescent="0.3">
      <c r="B465" s="45"/>
      <c r="C465" s="8"/>
    </row>
    <row r="466" spans="2:3" x14ac:dyDescent="0.3">
      <c r="B466" s="45"/>
      <c r="C466" s="8"/>
    </row>
    <row r="467" spans="2:3" x14ac:dyDescent="0.3">
      <c r="B467" s="45"/>
      <c r="C467" s="8"/>
    </row>
    <row r="468" spans="2:3" x14ac:dyDescent="0.3">
      <c r="B468" s="45"/>
      <c r="C468" s="8"/>
    </row>
    <row r="469" spans="2:3" x14ac:dyDescent="0.3">
      <c r="B469" s="45"/>
      <c r="C469" s="8"/>
    </row>
    <row r="470" spans="2:3" x14ac:dyDescent="0.3">
      <c r="B470" s="45"/>
      <c r="C470" s="8"/>
    </row>
    <row r="471" spans="2:3" x14ac:dyDescent="0.3">
      <c r="B471" s="45"/>
      <c r="C471" s="8"/>
    </row>
    <row r="472" spans="2:3" x14ac:dyDescent="0.3">
      <c r="B472" s="45"/>
      <c r="C472" s="8"/>
    </row>
    <row r="473" spans="2:3" x14ac:dyDescent="0.3">
      <c r="B473" s="45"/>
      <c r="C473" s="8"/>
    </row>
    <row r="474" spans="2:3" x14ac:dyDescent="0.3">
      <c r="B474" s="45"/>
      <c r="C474" s="8"/>
    </row>
    <row r="475" spans="2:3" x14ac:dyDescent="0.3">
      <c r="B475" s="45"/>
      <c r="C475" s="8"/>
    </row>
    <row r="476" spans="2:3" x14ac:dyDescent="0.3">
      <c r="B476" s="45"/>
      <c r="C476" s="8"/>
    </row>
    <row r="477" spans="2:3" x14ac:dyDescent="0.3">
      <c r="B477" s="45"/>
      <c r="C477" s="8"/>
    </row>
    <row r="478" spans="2:3" x14ac:dyDescent="0.3">
      <c r="B478" s="45"/>
      <c r="C478" s="8"/>
    </row>
    <row r="479" spans="2:3" x14ac:dyDescent="0.3">
      <c r="B479" s="45"/>
      <c r="C479" s="8"/>
    </row>
    <row r="480" spans="2:3" x14ac:dyDescent="0.3">
      <c r="B480" s="45"/>
      <c r="C480" s="8"/>
    </row>
    <row r="481" spans="2:3" x14ac:dyDescent="0.3">
      <c r="B481" s="45"/>
      <c r="C481" s="8"/>
    </row>
    <row r="482" spans="2:3" x14ac:dyDescent="0.3">
      <c r="B482" s="45"/>
      <c r="C482" s="8"/>
    </row>
    <row r="483" spans="2:3" x14ac:dyDescent="0.3">
      <c r="B483" s="45"/>
      <c r="C483" s="8"/>
    </row>
    <row r="484" spans="2:3" x14ac:dyDescent="0.3">
      <c r="B484" s="45"/>
      <c r="C484" s="8"/>
    </row>
    <row r="485" spans="2:3" x14ac:dyDescent="0.3">
      <c r="B485" s="45"/>
      <c r="C485" s="8"/>
    </row>
    <row r="486" spans="2:3" x14ac:dyDescent="0.3">
      <c r="B486" s="45"/>
      <c r="C486" s="8"/>
    </row>
    <row r="487" spans="2:3" x14ac:dyDescent="0.3">
      <c r="B487" s="45"/>
      <c r="C487" s="8"/>
    </row>
    <row r="488" spans="2:3" x14ac:dyDescent="0.3">
      <c r="B488" s="45"/>
      <c r="C488" s="8"/>
    </row>
    <row r="489" spans="2:3" x14ac:dyDescent="0.3">
      <c r="B489" s="45"/>
      <c r="C489" s="8"/>
    </row>
    <row r="490" spans="2:3" x14ac:dyDescent="0.3">
      <c r="B490" s="45"/>
      <c r="C490" s="8"/>
    </row>
    <row r="491" spans="2:3" x14ac:dyDescent="0.3">
      <c r="B491" s="45"/>
      <c r="C491" s="8"/>
    </row>
    <row r="492" spans="2:3" x14ac:dyDescent="0.3">
      <c r="B492" s="45"/>
      <c r="C492" s="8"/>
    </row>
    <row r="493" spans="2:3" x14ac:dyDescent="0.3">
      <c r="B493" s="45"/>
      <c r="C493" s="8"/>
    </row>
    <row r="494" spans="2:3" x14ac:dyDescent="0.3">
      <c r="B494" s="45"/>
      <c r="C494" s="8"/>
    </row>
    <row r="495" spans="2:3" x14ac:dyDescent="0.3">
      <c r="B495" s="45"/>
      <c r="C495" s="8"/>
    </row>
    <row r="496" spans="2:3" x14ac:dyDescent="0.3">
      <c r="B496" s="45"/>
      <c r="C496" s="8"/>
    </row>
    <row r="497" spans="2:3" x14ac:dyDescent="0.3">
      <c r="B497" s="45"/>
      <c r="C497" s="8"/>
    </row>
    <row r="498" spans="2:3" x14ac:dyDescent="0.3">
      <c r="B498" s="45"/>
      <c r="C498" s="8"/>
    </row>
    <row r="499" spans="2:3" x14ac:dyDescent="0.3">
      <c r="B499" s="45"/>
      <c r="C499" s="8"/>
    </row>
    <row r="500" spans="2:3" x14ac:dyDescent="0.3">
      <c r="B500" s="45"/>
      <c r="C500" s="8"/>
    </row>
    <row r="501" spans="2:3" x14ac:dyDescent="0.3">
      <c r="B501" s="45"/>
      <c r="C501" s="8"/>
    </row>
    <row r="502" spans="2:3" x14ac:dyDescent="0.3">
      <c r="B502" s="45"/>
      <c r="C502" s="8"/>
    </row>
    <row r="503" spans="2:3" x14ac:dyDescent="0.3">
      <c r="B503" s="45"/>
      <c r="C503" s="8"/>
    </row>
    <row r="504" spans="2:3" x14ac:dyDescent="0.3">
      <c r="B504" s="45"/>
      <c r="C504" s="8"/>
    </row>
    <row r="505" spans="2:3" x14ac:dyDescent="0.3">
      <c r="B505" s="45"/>
      <c r="C505" s="8"/>
    </row>
    <row r="506" spans="2:3" x14ac:dyDescent="0.3">
      <c r="B506" s="45"/>
      <c r="C506" s="8"/>
    </row>
    <row r="507" spans="2:3" x14ac:dyDescent="0.3">
      <c r="B507" s="45"/>
      <c r="C507" s="8"/>
    </row>
    <row r="508" spans="2:3" x14ac:dyDescent="0.3">
      <c r="B508" s="45"/>
      <c r="C508" s="8"/>
    </row>
    <row r="509" spans="2:3" x14ac:dyDescent="0.3">
      <c r="B509" s="45"/>
      <c r="C509" s="8"/>
    </row>
    <row r="510" spans="2:3" x14ac:dyDescent="0.3">
      <c r="B510" s="45"/>
      <c r="C510" s="8"/>
    </row>
    <row r="511" spans="2:3" x14ac:dyDescent="0.3">
      <c r="B511" s="45"/>
      <c r="C511" s="8"/>
    </row>
    <row r="512" spans="2:3" x14ac:dyDescent="0.3">
      <c r="B512" s="45"/>
      <c r="C512" s="8"/>
    </row>
    <row r="513" spans="2:3" x14ac:dyDescent="0.3">
      <c r="B513" s="45"/>
      <c r="C513" s="8"/>
    </row>
    <row r="514" spans="2:3" x14ac:dyDescent="0.3">
      <c r="B514" s="45"/>
      <c r="C514" s="8"/>
    </row>
    <row r="515" spans="2:3" x14ac:dyDescent="0.3">
      <c r="B515" s="45"/>
      <c r="C515" s="8"/>
    </row>
    <row r="516" spans="2:3" x14ac:dyDescent="0.3">
      <c r="B516" s="45"/>
      <c r="C516" s="8"/>
    </row>
    <row r="517" spans="2:3" x14ac:dyDescent="0.3">
      <c r="B517" s="45"/>
      <c r="C517" s="8"/>
    </row>
    <row r="518" spans="2:3" x14ac:dyDescent="0.3">
      <c r="B518" s="45"/>
      <c r="C518" s="8"/>
    </row>
    <row r="519" spans="2:3" x14ac:dyDescent="0.3">
      <c r="B519" s="45"/>
      <c r="C519" s="8"/>
    </row>
    <row r="520" spans="2:3" x14ac:dyDescent="0.3">
      <c r="B520" s="45"/>
      <c r="C520" s="8"/>
    </row>
    <row r="521" spans="2:3" x14ac:dyDescent="0.3">
      <c r="B521" s="45"/>
      <c r="C521" s="8"/>
    </row>
    <row r="522" spans="2:3" x14ac:dyDescent="0.3">
      <c r="B522" s="45"/>
      <c r="C522" s="8"/>
    </row>
    <row r="523" spans="2:3" x14ac:dyDescent="0.3">
      <c r="B523" s="45"/>
      <c r="C523" s="8"/>
    </row>
    <row r="524" spans="2:3" x14ac:dyDescent="0.3">
      <c r="B524" s="45"/>
      <c r="C524" s="8"/>
    </row>
    <row r="525" spans="2:3" x14ac:dyDescent="0.3">
      <c r="B525" s="45"/>
      <c r="C525" s="8"/>
    </row>
    <row r="526" spans="2:3" x14ac:dyDescent="0.3">
      <c r="B526" s="45"/>
      <c r="C526" s="8"/>
    </row>
    <row r="527" spans="2:3" x14ac:dyDescent="0.3">
      <c r="B527" s="45"/>
      <c r="C527" s="8"/>
    </row>
    <row r="528" spans="2:3" x14ac:dyDescent="0.3">
      <c r="B528" s="45"/>
      <c r="C528" s="8"/>
    </row>
    <row r="529" spans="2:3" x14ac:dyDescent="0.3">
      <c r="B529" s="45"/>
      <c r="C529" s="8"/>
    </row>
    <row r="530" spans="2:3" x14ac:dyDescent="0.3">
      <c r="B530" s="45"/>
      <c r="C530" s="8"/>
    </row>
    <row r="531" spans="2:3" x14ac:dyDescent="0.3">
      <c r="B531" s="45"/>
      <c r="C531" s="8"/>
    </row>
    <row r="532" spans="2:3" x14ac:dyDescent="0.3">
      <c r="B532" s="45"/>
      <c r="C532" s="8"/>
    </row>
    <row r="533" spans="2:3" x14ac:dyDescent="0.3">
      <c r="B533" s="45"/>
      <c r="C533" s="8"/>
    </row>
    <row r="534" spans="2:3" x14ac:dyDescent="0.3">
      <c r="B534" s="45"/>
      <c r="C534" s="8"/>
    </row>
    <row r="535" spans="2:3" x14ac:dyDescent="0.3">
      <c r="B535" s="45"/>
      <c r="C535" s="8"/>
    </row>
    <row r="536" spans="2:3" x14ac:dyDescent="0.3">
      <c r="B536" s="45"/>
      <c r="C536" s="8"/>
    </row>
    <row r="537" spans="2:3" x14ac:dyDescent="0.3">
      <c r="B537" s="45"/>
      <c r="C537" s="8"/>
    </row>
    <row r="538" spans="2:3" x14ac:dyDescent="0.3">
      <c r="B538" s="45"/>
      <c r="C538" s="8"/>
    </row>
    <row r="539" spans="2:3" x14ac:dyDescent="0.3">
      <c r="B539" s="45"/>
      <c r="C539" s="8"/>
    </row>
    <row r="540" spans="2:3" x14ac:dyDescent="0.3">
      <c r="B540" s="45"/>
      <c r="C540" s="8"/>
    </row>
    <row r="541" spans="2:3" x14ac:dyDescent="0.3">
      <c r="B541" s="45"/>
      <c r="C541" s="8"/>
    </row>
    <row r="542" spans="2:3" x14ac:dyDescent="0.3">
      <c r="B542" s="45"/>
      <c r="C542" s="8"/>
    </row>
    <row r="543" spans="2:3" x14ac:dyDescent="0.3">
      <c r="B543" s="45"/>
      <c r="C543" s="8"/>
    </row>
    <row r="544" spans="2:3" x14ac:dyDescent="0.3">
      <c r="B544" s="45"/>
      <c r="C544" s="8"/>
    </row>
    <row r="545" spans="2:3" x14ac:dyDescent="0.3">
      <c r="B545" s="45"/>
      <c r="C545" s="8"/>
    </row>
    <row r="546" spans="2:3" x14ac:dyDescent="0.3">
      <c r="B546" s="45"/>
      <c r="C546" s="8"/>
    </row>
    <row r="547" spans="2:3" x14ac:dyDescent="0.3">
      <c r="B547" s="45"/>
      <c r="C547" s="8"/>
    </row>
    <row r="548" spans="2:3" x14ac:dyDescent="0.3">
      <c r="B548" s="45"/>
      <c r="C548" s="8"/>
    </row>
    <row r="549" spans="2:3" x14ac:dyDescent="0.3">
      <c r="B549" s="45"/>
      <c r="C549" s="8"/>
    </row>
    <row r="550" spans="2:3" x14ac:dyDescent="0.3">
      <c r="B550" s="45"/>
      <c r="C550" s="8"/>
    </row>
    <row r="551" spans="2:3" x14ac:dyDescent="0.3">
      <c r="B551" s="45"/>
      <c r="C551" s="8"/>
    </row>
    <row r="552" spans="2:3" x14ac:dyDescent="0.3">
      <c r="B552" s="45"/>
      <c r="C552" s="8"/>
    </row>
    <row r="553" spans="2:3" x14ac:dyDescent="0.3">
      <c r="B553" s="45"/>
      <c r="C553" s="8"/>
    </row>
    <row r="554" spans="2:3" x14ac:dyDescent="0.3">
      <c r="B554" s="45"/>
      <c r="C554" s="8"/>
    </row>
    <row r="555" spans="2:3" x14ac:dyDescent="0.3">
      <c r="B555" s="45"/>
      <c r="C555" s="8"/>
    </row>
    <row r="556" spans="2:3" x14ac:dyDescent="0.3">
      <c r="B556" s="45"/>
      <c r="C556" s="8"/>
    </row>
    <row r="557" spans="2:3" x14ac:dyDescent="0.3">
      <c r="B557" s="45"/>
      <c r="C557" s="8"/>
    </row>
    <row r="558" spans="2:3" x14ac:dyDescent="0.3">
      <c r="B558" s="45"/>
      <c r="C558" s="8"/>
    </row>
    <row r="559" spans="2:3" x14ac:dyDescent="0.3">
      <c r="B559" s="45"/>
      <c r="C559" s="8"/>
    </row>
    <row r="560" spans="2:3" x14ac:dyDescent="0.3">
      <c r="B560" s="45"/>
      <c r="C560" s="8"/>
    </row>
    <row r="561" spans="2:3" x14ac:dyDescent="0.3">
      <c r="B561" s="45"/>
      <c r="C561" s="8"/>
    </row>
    <row r="562" spans="2:3" x14ac:dyDescent="0.3">
      <c r="B562" s="45"/>
      <c r="C562" s="8"/>
    </row>
    <row r="563" spans="2:3" x14ac:dyDescent="0.3">
      <c r="B563" s="45"/>
      <c r="C563" s="8"/>
    </row>
    <row r="564" spans="2:3" x14ac:dyDescent="0.3">
      <c r="B564" s="45"/>
      <c r="C564" s="8"/>
    </row>
    <row r="565" spans="2:3" x14ac:dyDescent="0.3">
      <c r="B565" s="45"/>
      <c r="C565" s="8"/>
    </row>
    <row r="566" spans="2:3" x14ac:dyDescent="0.3">
      <c r="B566" s="45"/>
      <c r="C566" s="8"/>
    </row>
    <row r="567" spans="2:3" x14ac:dyDescent="0.3">
      <c r="B567" s="45"/>
      <c r="C567" s="8"/>
    </row>
    <row r="568" spans="2:3" x14ac:dyDescent="0.3">
      <c r="B568" s="45"/>
      <c r="C568" s="8"/>
    </row>
    <row r="569" spans="2:3" x14ac:dyDescent="0.3">
      <c r="B569" s="45"/>
      <c r="C569" s="8"/>
    </row>
    <row r="570" spans="2:3" x14ac:dyDescent="0.3">
      <c r="B570" s="45"/>
      <c r="C570" s="8"/>
    </row>
    <row r="571" spans="2:3" x14ac:dyDescent="0.3">
      <c r="B571" s="45"/>
      <c r="C571" s="8"/>
    </row>
    <row r="572" spans="2:3" x14ac:dyDescent="0.3">
      <c r="B572" s="45"/>
      <c r="C572" s="8"/>
    </row>
    <row r="573" spans="2:3" x14ac:dyDescent="0.3">
      <c r="B573" s="45"/>
      <c r="C573" s="8"/>
    </row>
    <row r="574" spans="2:3" x14ac:dyDescent="0.3">
      <c r="B574" s="45"/>
      <c r="C574" s="8"/>
    </row>
    <row r="575" spans="2:3" x14ac:dyDescent="0.3">
      <c r="B575" s="45"/>
      <c r="C575" s="8"/>
    </row>
    <row r="576" spans="2:3" x14ac:dyDescent="0.3">
      <c r="B576" s="45"/>
      <c r="C576" s="8"/>
    </row>
    <row r="577" spans="2:3" x14ac:dyDescent="0.3">
      <c r="B577" s="45"/>
      <c r="C577" s="8"/>
    </row>
    <row r="578" spans="2:3" x14ac:dyDescent="0.3">
      <c r="B578" s="45"/>
      <c r="C578" s="8"/>
    </row>
    <row r="579" spans="2:3" x14ac:dyDescent="0.3">
      <c r="B579" s="45"/>
      <c r="C579" s="8"/>
    </row>
    <row r="580" spans="2:3" x14ac:dyDescent="0.3">
      <c r="B580" s="45"/>
      <c r="C580" s="8"/>
    </row>
    <row r="581" spans="2:3" x14ac:dyDescent="0.3">
      <c r="B581" s="45"/>
      <c r="C581" s="8"/>
    </row>
    <row r="582" spans="2:3" x14ac:dyDescent="0.3">
      <c r="B582" s="45"/>
      <c r="C582" s="8"/>
    </row>
    <row r="583" spans="2:3" x14ac:dyDescent="0.3">
      <c r="B583" s="45"/>
      <c r="C583" s="8"/>
    </row>
    <row r="584" spans="2:3" x14ac:dyDescent="0.3">
      <c r="B584" s="45"/>
      <c r="C584" s="8"/>
    </row>
    <row r="585" spans="2:3" x14ac:dyDescent="0.3">
      <c r="B585" s="45"/>
      <c r="C585" s="8"/>
    </row>
    <row r="586" spans="2:3" x14ac:dyDescent="0.3">
      <c r="B586" s="45"/>
      <c r="C586" s="8"/>
    </row>
    <row r="587" spans="2:3" x14ac:dyDescent="0.3">
      <c r="B587" s="45"/>
      <c r="C587" s="8"/>
    </row>
    <row r="588" spans="2:3" x14ac:dyDescent="0.3">
      <c r="B588" s="45"/>
      <c r="C588" s="8"/>
    </row>
    <row r="589" spans="2:3" x14ac:dyDescent="0.3">
      <c r="B589" s="45"/>
      <c r="C589" s="8"/>
    </row>
    <row r="590" spans="2:3" x14ac:dyDescent="0.3">
      <c r="B590" s="45"/>
      <c r="C590" s="8"/>
    </row>
    <row r="591" spans="2:3" x14ac:dyDescent="0.3">
      <c r="B591" s="45"/>
      <c r="C591" s="8"/>
    </row>
    <row r="592" spans="2:3" x14ac:dyDescent="0.3">
      <c r="B592" s="45"/>
      <c r="C592" s="8"/>
    </row>
    <row r="593" spans="2:3" x14ac:dyDescent="0.3">
      <c r="B593" s="45"/>
      <c r="C593" s="8"/>
    </row>
    <row r="594" spans="2:3" x14ac:dyDescent="0.3">
      <c r="B594" s="45"/>
      <c r="C594" s="8"/>
    </row>
    <row r="595" spans="2:3" x14ac:dyDescent="0.3">
      <c r="B595" s="45"/>
      <c r="C595" s="8"/>
    </row>
    <row r="596" spans="2:3" x14ac:dyDescent="0.3">
      <c r="B596" s="45"/>
      <c r="C596" s="8"/>
    </row>
    <row r="597" spans="2:3" x14ac:dyDescent="0.3">
      <c r="B597" s="45"/>
      <c r="C597" s="8"/>
    </row>
    <row r="598" spans="2:3" x14ac:dyDescent="0.3">
      <c r="B598" s="45"/>
      <c r="C598" s="8"/>
    </row>
    <row r="599" spans="2:3" x14ac:dyDescent="0.3">
      <c r="B599" s="45"/>
      <c r="C599" s="8"/>
    </row>
    <row r="600" spans="2:3" x14ac:dyDescent="0.3">
      <c r="B600" s="45"/>
      <c r="C600" s="8"/>
    </row>
    <row r="601" spans="2:3" x14ac:dyDescent="0.3">
      <c r="B601" s="45"/>
      <c r="C601" s="8"/>
    </row>
    <row r="602" spans="2:3" x14ac:dyDescent="0.3">
      <c r="B602" s="45"/>
      <c r="C602" s="8"/>
    </row>
    <row r="603" spans="2:3" x14ac:dyDescent="0.3">
      <c r="B603" s="45"/>
      <c r="C603" s="8"/>
    </row>
    <row r="604" spans="2:3" x14ac:dyDescent="0.3">
      <c r="B604" s="45"/>
      <c r="C604" s="8"/>
    </row>
    <row r="605" spans="2:3" x14ac:dyDescent="0.3">
      <c r="B605" s="45"/>
      <c r="C605" s="8"/>
    </row>
    <row r="606" spans="2:3" x14ac:dyDescent="0.3">
      <c r="B606" s="45"/>
      <c r="C606" s="8"/>
    </row>
    <row r="607" spans="2:3" x14ac:dyDescent="0.3">
      <c r="B607" s="45"/>
      <c r="C607" s="8"/>
    </row>
    <row r="608" spans="2:3" x14ac:dyDescent="0.3">
      <c r="B608" s="45"/>
      <c r="C608" s="8"/>
    </row>
    <row r="609" spans="2:3" x14ac:dyDescent="0.3">
      <c r="B609" s="45"/>
      <c r="C609" s="8"/>
    </row>
    <row r="610" spans="2:3" x14ac:dyDescent="0.3">
      <c r="B610" s="45"/>
      <c r="C610" s="8"/>
    </row>
    <row r="611" spans="2:3" x14ac:dyDescent="0.3">
      <c r="B611" s="45"/>
      <c r="C611" s="8"/>
    </row>
    <row r="612" spans="2:3" x14ac:dyDescent="0.3">
      <c r="B612" s="45"/>
      <c r="C612" s="8"/>
    </row>
    <row r="613" spans="2:3" x14ac:dyDescent="0.3">
      <c r="B613" s="45"/>
      <c r="C613" s="8"/>
    </row>
    <row r="614" spans="2:3" x14ac:dyDescent="0.3">
      <c r="B614" s="45"/>
      <c r="C614" s="8"/>
    </row>
    <row r="615" spans="2:3" x14ac:dyDescent="0.3">
      <c r="B615" s="45"/>
      <c r="C615" s="8"/>
    </row>
    <row r="616" spans="2:3" x14ac:dyDescent="0.3">
      <c r="B616" s="45"/>
      <c r="C616" s="8"/>
    </row>
    <row r="617" spans="2:3" x14ac:dyDescent="0.3">
      <c r="B617" s="45"/>
      <c r="C617" s="8"/>
    </row>
    <row r="618" spans="2:3" x14ac:dyDescent="0.3">
      <c r="B618" s="45"/>
      <c r="C618" s="8"/>
    </row>
    <row r="619" spans="2:3" x14ac:dyDescent="0.3">
      <c r="B619" s="45"/>
      <c r="C619" s="8"/>
    </row>
    <row r="620" spans="2:3" x14ac:dyDescent="0.3">
      <c r="B620" s="45"/>
      <c r="C620" s="8"/>
    </row>
    <row r="621" spans="2:3" x14ac:dyDescent="0.3">
      <c r="B621" s="45"/>
      <c r="C621" s="8"/>
    </row>
    <row r="622" spans="2:3" x14ac:dyDescent="0.3">
      <c r="B622" s="45"/>
      <c r="C622" s="8"/>
    </row>
    <row r="623" spans="2:3" x14ac:dyDescent="0.3">
      <c r="B623" s="45"/>
      <c r="C623" s="8"/>
    </row>
    <row r="624" spans="2:3" x14ac:dyDescent="0.3">
      <c r="B624" s="45"/>
      <c r="C624" s="8"/>
    </row>
    <row r="625" spans="2:3" x14ac:dyDescent="0.3">
      <c r="B625" s="45"/>
      <c r="C625" s="8"/>
    </row>
    <row r="626" spans="2:3" x14ac:dyDescent="0.3">
      <c r="B626" s="45"/>
      <c r="C626" s="8"/>
    </row>
    <row r="627" spans="2:3" x14ac:dyDescent="0.3">
      <c r="B627" s="45"/>
      <c r="C627" s="8"/>
    </row>
    <row r="628" spans="2:3" x14ac:dyDescent="0.3">
      <c r="B628" s="45"/>
      <c r="C628" s="8"/>
    </row>
    <row r="629" spans="2:3" x14ac:dyDescent="0.3">
      <c r="B629" s="45"/>
      <c r="C629" s="8"/>
    </row>
    <row r="630" spans="2:3" x14ac:dyDescent="0.3">
      <c r="B630" s="45"/>
      <c r="C630" s="8"/>
    </row>
    <row r="631" spans="2:3" x14ac:dyDescent="0.3">
      <c r="B631" s="45"/>
      <c r="C631" s="8"/>
    </row>
    <row r="632" spans="2:3" x14ac:dyDescent="0.3">
      <c r="B632" s="45"/>
      <c r="C632" s="8"/>
    </row>
    <row r="633" spans="2:3" x14ac:dyDescent="0.3">
      <c r="B633" s="45"/>
      <c r="C633" s="8"/>
    </row>
    <row r="634" spans="2:3" x14ac:dyDescent="0.3">
      <c r="B634" s="45"/>
      <c r="C634" s="8"/>
    </row>
    <row r="635" spans="2:3" x14ac:dyDescent="0.3">
      <c r="B635" s="45"/>
      <c r="C635" s="8"/>
    </row>
    <row r="636" spans="2:3" x14ac:dyDescent="0.3">
      <c r="B636" s="45"/>
      <c r="C636" s="8"/>
    </row>
    <row r="637" spans="2:3" x14ac:dyDescent="0.3">
      <c r="B637" s="45"/>
      <c r="C637" s="8"/>
    </row>
    <row r="638" spans="2:3" x14ac:dyDescent="0.3">
      <c r="B638" s="45"/>
      <c r="C638" s="8"/>
    </row>
    <row r="639" spans="2:3" x14ac:dyDescent="0.3">
      <c r="B639" s="45"/>
      <c r="C639" s="8"/>
    </row>
    <row r="640" spans="2:3" x14ac:dyDescent="0.3">
      <c r="B640" s="45"/>
      <c r="C640" s="8"/>
    </row>
    <row r="641" spans="2:3" x14ac:dyDescent="0.3">
      <c r="B641" s="45"/>
      <c r="C641" s="8"/>
    </row>
    <row r="642" spans="2:3" x14ac:dyDescent="0.3">
      <c r="B642" s="45"/>
      <c r="C642" s="8"/>
    </row>
    <row r="643" spans="2:3" x14ac:dyDescent="0.3">
      <c r="B643" s="45"/>
      <c r="C643" s="8"/>
    </row>
    <row r="644" spans="2:3" x14ac:dyDescent="0.3">
      <c r="B644" s="45"/>
      <c r="C644" s="8"/>
    </row>
    <row r="645" spans="2:3" x14ac:dyDescent="0.3">
      <c r="B645" s="45"/>
      <c r="C645" s="8"/>
    </row>
    <row r="646" spans="2:3" x14ac:dyDescent="0.3">
      <c r="B646" s="45"/>
      <c r="C646" s="8"/>
    </row>
    <row r="647" spans="2:3" x14ac:dyDescent="0.3">
      <c r="B647" s="45"/>
      <c r="C647" s="8"/>
    </row>
    <row r="648" spans="2:3" x14ac:dyDescent="0.3">
      <c r="B648" s="45"/>
      <c r="C648" s="8"/>
    </row>
    <row r="649" spans="2:3" x14ac:dyDescent="0.3">
      <c r="B649" s="45"/>
      <c r="C649" s="8"/>
    </row>
    <row r="650" spans="2:3" x14ac:dyDescent="0.3">
      <c r="B650" s="45"/>
      <c r="C650" s="8"/>
    </row>
    <row r="651" spans="2:3" x14ac:dyDescent="0.3">
      <c r="B651" s="45"/>
      <c r="C651" s="8"/>
    </row>
    <row r="652" spans="2:3" x14ac:dyDescent="0.3">
      <c r="B652" s="45"/>
      <c r="C652" s="8"/>
    </row>
    <row r="653" spans="2:3" x14ac:dyDescent="0.3">
      <c r="B653" s="45"/>
      <c r="C653" s="8"/>
    </row>
    <row r="654" spans="2:3" x14ac:dyDescent="0.3">
      <c r="B654" s="45"/>
      <c r="C654" s="8"/>
    </row>
    <row r="655" spans="2:3" x14ac:dyDescent="0.3">
      <c r="B655" s="45"/>
      <c r="C655" s="8"/>
    </row>
    <row r="656" spans="2:3" x14ac:dyDescent="0.3">
      <c r="B656" s="45"/>
      <c r="C656" s="8"/>
    </row>
    <row r="657" spans="2:3" x14ac:dyDescent="0.3">
      <c r="B657" s="45"/>
      <c r="C657" s="8"/>
    </row>
    <row r="658" spans="2:3" x14ac:dyDescent="0.3">
      <c r="B658" s="45"/>
      <c r="C658" s="8"/>
    </row>
    <row r="659" spans="2:3" x14ac:dyDescent="0.3">
      <c r="B659" s="45"/>
      <c r="C659" s="8"/>
    </row>
    <row r="660" spans="2:3" x14ac:dyDescent="0.3">
      <c r="B660" s="45"/>
      <c r="C660" s="8"/>
    </row>
    <row r="661" spans="2:3" x14ac:dyDescent="0.3">
      <c r="B661" s="45"/>
      <c r="C661" s="8"/>
    </row>
    <row r="662" spans="2:3" x14ac:dyDescent="0.3">
      <c r="B662" s="45"/>
      <c r="C662" s="8"/>
    </row>
    <row r="663" spans="2:3" x14ac:dyDescent="0.3">
      <c r="B663" s="45"/>
      <c r="C663" s="8"/>
    </row>
    <row r="664" spans="2:3" x14ac:dyDescent="0.3">
      <c r="B664" s="45"/>
      <c r="C664" s="8"/>
    </row>
    <row r="665" spans="2:3" x14ac:dyDescent="0.3">
      <c r="B665" s="45"/>
      <c r="C665" s="8"/>
    </row>
    <row r="666" spans="2:3" x14ac:dyDescent="0.3">
      <c r="B666" s="45"/>
      <c r="C666" s="8"/>
    </row>
    <row r="667" spans="2:3" x14ac:dyDescent="0.3">
      <c r="B667" s="45"/>
      <c r="C667" s="8"/>
    </row>
    <row r="668" spans="2:3" x14ac:dyDescent="0.3">
      <c r="B668" s="45"/>
      <c r="C668" s="8"/>
    </row>
    <row r="669" spans="2:3" x14ac:dyDescent="0.3">
      <c r="B669" s="45"/>
      <c r="C669" s="8"/>
    </row>
    <row r="670" spans="2:3" x14ac:dyDescent="0.3">
      <c r="B670" s="45"/>
      <c r="C670" s="8"/>
    </row>
    <row r="671" spans="2:3" x14ac:dyDescent="0.3">
      <c r="B671" s="45"/>
      <c r="C671" s="8"/>
    </row>
    <row r="672" spans="2:3" x14ac:dyDescent="0.3">
      <c r="B672" s="45"/>
      <c r="C672" s="8"/>
    </row>
    <row r="673" spans="2:3" x14ac:dyDescent="0.3">
      <c r="B673" s="45"/>
      <c r="C673" s="8"/>
    </row>
    <row r="674" spans="2:3" x14ac:dyDescent="0.3">
      <c r="B674" s="45"/>
      <c r="C674" s="8"/>
    </row>
    <row r="675" spans="2:3" x14ac:dyDescent="0.3">
      <c r="B675" s="45"/>
      <c r="C675" s="8"/>
    </row>
    <row r="676" spans="2:3" x14ac:dyDescent="0.3">
      <c r="B676" s="45"/>
      <c r="C676" s="8"/>
    </row>
    <row r="677" spans="2:3" x14ac:dyDescent="0.3">
      <c r="B677" s="45"/>
      <c r="C677" s="8"/>
    </row>
    <row r="678" spans="2:3" x14ac:dyDescent="0.3">
      <c r="B678" s="45"/>
      <c r="C678" s="8"/>
    </row>
    <row r="679" spans="2:3" x14ac:dyDescent="0.3">
      <c r="B679" s="45"/>
      <c r="C679" s="8"/>
    </row>
    <row r="680" spans="2:3" x14ac:dyDescent="0.3">
      <c r="B680" s="45"/>
      <c r="C680" s="8"/>
    </row>
    <row r="681" spans="2:3" x14ac:dyDescent="0.3">
      <c r="B681" s="45"/>
      <c r="C681" s="8"/>
    </row>
    <row r="682" spans="2:3" x14ac:dyDescent="0.3">
      <c r="B682" s="45"/>
      <c r="C682" s="8"/>
    </row>
    <row r="683" spans="2:3" x14ac:dyDescent="0.3">
      <c r="B683" s="45"/>
      <c r="C683" s="8"/>
    </row>
    <row r="684" spans="2:3" x14ac:dyDescent="0.3">
      <c r="B684" s="45"/>
      <c r="C684" s="8"/>
    </row>
    <row r="685" spans="2:3" x14ac:dyDescent="0.3">
      <c r="B685" s="45"/>
      <c r="C685" s="8"/>
    </row>
    <row r="686" spans="2:3" x14ac:dyDescent="0.3">
      <c r="B686" s="45"/>
      <c r="C686" s="8"/>
    </row>
    <row r="687" spans="2:3" x14ac:dyDescent="0.3">
      <c r="B687" s="45"/>
      <c r="C687" s="8"/>
    </row>
    <row r="688" spans="2:3" x14ac:dyDescent="0.3">
      <c r="B688" s="45"/>
      <c r="C688" s="8"/>
    </row>
    <row r="689" spans="2:3" x14ac:dyDescent="0.3">
      <c r="B689" s="45"/>
      <c r="C689" s="8"/>
    </row>
    <row r="690" spans="2:3" x14ac:dyDescent="0.3">
      <c r="B690" s="45"/>
      <c r="C690" s="8"/>
    </row>
    <row r="691" spans="2:3" x14ac:dyDescent="0.3">
      <c r="B691" s="45"/>
      <c r="C691" s="8"/>
    </row>
    <row r="692" spans="2:3" x14ac:dyDescent="0.3">
      <c r="B692" s="45"/>
      <c r="C692" s="8"/>
    </row>
    <row r="693" spans="2:3" x14ac:dyDescent="0.3">
      <c r="B693" s="45"/>
      <c r="C693" s="8"/>
    </row>
    <row r="694" spans="2:3" x14ac:dyDescent="0.3">
      <c r="B694" s="45"/>
      <c r="C694" s="8"/>
    </row>
    <row r="695" spans="2:3" x14ac:dyDescent="0.3">
      <c r="B695" s="45"/>
      <c r="C695" s="8"/>
    </row>
    <row r="696" spans="2:3" x14ac:dyDescent="0.3">
      <c r="B696" s="45"/>
      <c r="C696" s="8"/>
    </row>
    <row r="697" spans="2:3" x14ac:dyDescent="0.3">
      <c r="B697" s="45"/>
      <c r="C697" s="8"/>
    </row>
    <row r="698" spans="2:3" x14ac:dyDescent="0.3">
      <c r="B698" s="45"/>
      <c r="C698" s="8"/>
    </row>
    <row r="699" spans="2:3" x14ac:dyDescent="0.3">
      <c r="B699" s="45"/>
      <c r="C699" s="8"/>
    </row>
    <row r="700" spans="2:3" x14ac:dyDescent="0.3">
      <c r="B700" s="45"/>
      <c r="C700" s="8"/>
    </row>
    <row r="701" spans="2:3" x14ac:dyDescent="0.3">
      <c r="B701" s="45"/>
      <c r="C701" s="8"/>
    </row>
    <row r="702" spans="2:3" x14ac:dyDescent="0.3">
      <c r="B702" s="45"/>
      <c r="C702" s="8"/>
    </row>
    <row r="703" spans="2:3" x14ac:dyDescent="0.3">
      <c r="B703" s="45"/>
      <c r="C703" s="8"/>
    </row>
    <row r="704" spans="2:3" x14ac:dyDescent="0.3">
      <c r="B704" s="45"/>
      <c r="C704" s="8"/>
    </row>
    <row r="705" spans="2:3" x14ac:dyDescent="0.3">
      <c r="B705" s="45"/>
      <c r="C705" s="8"/>
    </row>
    <row r="706" spans="2:3" x14ac:dyDescent="0.3">
      <c r="B706" s="45"/>
      <c r="C706" s="8"/>
    </row>
    <row r="707" spans="2:3" x14ac:dyDescent="0.3">
      <c r="B707" s="45"/>
      <c r="C707" s="8"/>
    </row>
    <row r="708" spans="2:3" x14ac:dyDescent="0.3">
      <c r="B708" s="45"/>
      <c r="C708" s="8"/>
    </row>
    <row r="709" spans="2:3" x14ac:dyDescent="0.3">
      <c r="B709" s="45"/>
      <c r="C709" s="8"/>
    </row>
    <row r="710" spans="2:3" x14ac:dyDescent="0.3">
      <c r="B710" s="45"/>
      <c r="C710" s="8"/>
    </row>
    <row r="711" spans="2:3" x14ac:dyDescent="0.3">
      <c r="B711" s="45"/>
      <c r="C711" s="8"/>
    </row>
    <row r="712" spans="2:3" x14ac:dyDescent="0.3">
      <c r="B712" s="45"/>
      <c r="C712" s="8"/>
    </row>
    <row r="713" spans="2:3" x14ac:dyDescent="0.3">
      <c r="B713" s="45"/>
      <c r="C713" s="8"/>
    </row>
    <row r="714" spans="2:3" x14ac:dyDescent="0.3">
      <c r="B714" s="45"/>
      <c r="C714" s="8"/>
    </row>
    <row r="715" spans="2:3" x14ac:dyDescent="0.3">
      <c r="B715" s="45"/>
      <c r="C715" s="8"/>
    </row>
    <row r="716" spans="2:3" x14ac:dyDescent="0.3">
      <c r="B716" s="45"/>
      <c r="C716" s="8"/>
    </row>
    <row r="717" spans="2:3" x14ac:dyDescent="0.3">
      <c r="B717" s="45"/>
      <c r="C717" s="8"/>
    </row>
    <row r="718" spans="2:3" x14ac:dyDescent="0.3">
      <c r="B718" s="45"/>
      <c r="C718" s="8"/>
    </row>
    <row r="719" spans="2:3" x14ac:dyDescent="0.3">
      <c r="B719" s="45"/>
      <c r="C719" s="8"/>
    </row>
    <row r="720" spans="2:3" x14ac:dyDescent="0.3">
      <c r="B720" s="45"/>
      <c r="C720" s="8"/>
    </row>
    <row r="721" spans="2:3" x14ac:dyDescent="0.3">
      <c r="B721" s="45"/>
      <c r="C721" s="8"/>
    </row>
    <row r="722" spans="2:3" x14ac:dyDescent="0.3">
      <c r="B722" s="45"/>
      <c r="C722" s="8"/>
    </row>
    <row r="723" spans="2:3" x14ac:dyDescent="0.3">
      <c r="B723" s="45"/>
      <c r="C723" s="8"/>
    </row>
    <row r="724" spans="2:3" x14ac:dyDescent="0.3">
      <c r="B724" s="45"/>
      <c r="C724" s="8"/>
    </row>
    <row r="725" spans="2:3" x14ac:dyDescent="0.3">
      <c r="B725" s="45"/>
      <c r="C725" s="8"/>
    </row>
    <row r="726" spans="2:3" x14ac:dyDescent="0.3">
      <c r="B726" s="45"/>
      <c r="C726" s="8"/>
    </row>
    <row r="727" spans="2:3" x14ac:dyDescent="0.3">
      <c r="B727" s="45"/>
      <c r="C727" s="8"/>
    </row>
    <row r="728" spans="2:3" x14ac:dyDescent="0.3">
      <c r="B728" s="45"/>
      <c r="C728" s="8"/>
    </row>
    <row r="729" spans="2:3" x14ac:dyDescent="0.3">
      <c r="B729" s="45"/>
      <c r="C729" s="8"/>
    </row>
    <row r="730" spans="2:3" x14ac:dyDescent="0.3">
      <c r="B730" s="45"/>
      <c r="C730" s="8"/>
    </row>
    <row r="731" spans="2:3" x14ac:dyDescent="0.3">
      <c r="B731" s="45"/>
      <c r="C731" s="8"/>
    </row>
    <row r="732" spans="2:3" x14ac:dyDescent="0.3">
      <c r="B732" s="45"/>
      <c r="C732" s="8"/>
    </row>
    <row r="733" spans="2:3" x14ac:dyDescent="0.3">
      <c r="B733" s="45"/>
      <c r="C733" s="8"/>
    </row>
    <row r="734" spans="2:3" x14ac:dyDescent="0.3">
      <c r="B734" s="45"/>
      <c r="C734" s="8"/>
    </row>
    <row r="735" spans="2:3" x14ac:dyDescent="0.3">
      <c r="B735" s="45"/>
      <c r="C735" s="8"/>
    </row>
    <row r="736" spans="2:3" x14ac:dyDescent="0.3">
      <c r="B736" s="45"/>
      <c r="C736" s="8"/>
    </row>
    <row r="737" spans="2:3" x14ac:dyDescent="0.3">
      <c r="B737" s="45"/>
      <c r="C737" s="8"/>
    </row>
    <row r="738" spans="2:3" x14ac:dyDescent="0.3">
      <c r="B738" s="45"/>
      <c r="C738" s="8"/>
    </row>
    <row r="739" spans="2:3" x14ac:dyDescent="0.3">
      <c r="B739" s="45"/>
      <c r="C739" s="8"/>
    </row>
    <row r="740" spans="2:3" x14ac:dyDescent="0.3">
      <c r="B740" s="45"/>
      <c r="C740" s="8"/>
    </row>
    <row r="741" spans="2:3" x14ac:dyDescent="0.3">
      <c r="B741" s="45"/>
      <c r="C741" s="8"/>
    </row>
    <row r="742" spans="2:3" x14ac:dyDescent="0.3">
      <c r="B742" s="45"/>
      <c r="C742" s="8"/>
    </row>
    <row r="743" spans="2:3" x14ac:dyDescent="0.3">
      <c r="B743" s="45"/>
      <c r="C743" s="8"/>
    </row>
    <row r="744" spans="2:3" x14ac:dyDescent="0.3">
      <c r="B744" s="45"/>
      <c r="C744" s="8"/>
    </row>
    <row r="745" spans="2:3" x14ac:dyDescent="0.3">
      <c r="B745" s="45"/>
      <c r="C745" s="8"/>
    </row>
    <row r="746" spans="2:3" x14ac:dyDescent="0.3">
      <c r="B746" s="45"/>
      <c r="C746" s="8"/>
    </row>
    <row r="747" spans="2:3" x14ac:dyDescent="0.3">
      <c r="B747" s="45"/>
      <c r="C747" s="8"/>
    </row>
    <row r="748" spans="2:3" x14ac:dyDescent="0.3">
      <c r="B748" s="45"/>
      <c r="C748" s="8"/>
    </row>
    <row r="749" spans="2:3" x14ac:dyDescent="0.3">
      <c r="B749" s="45"/>
      <c r="C749" s="8"/>
    </row>
    <row r="750" spans="2:3" x14ac:dyDescent="0.3">
      <c r="B750" s="45"/>
      <c r="C750" s="8"/>
    </row>
    <row r="751" spans="2:3" x14ac:dyDescent="0.3">
      <c r="B751" s="45"/>
      <c r="C751" s="8"/>
    </row>
    <row r="752" spans="2:3" x14ac:dyDescent="0.3">
      <c r="B752" s="45"/>
      <c r="C752" s="8"/>
    </row>
    <row r="753" spans="2:3" x14ac:dyDescent="0.3">
      <c r="B753" s="45"/>
      <c r="C753" s="8"/>
    </row>
    <row r="754" spans="2:3" x14ac:dyDescent="0.3">
      <c r="B754" s="45"/>
      <c r="C754" s="8"/>
    </row>
    <row r="755" spans="2:3" x14ac:dyDescent="0.3">
      <c r="B755" s="45"/>
      <c r="C755" s="8"/>
    </row>
    <row r="756" spans="2:3" x14ac:dyDescent="0.3">
      <c r="B756" s="45"/>
      <c r="C756" s="8"/>
    </row>
    <row r="757" spans="2:3" x14ac:dyDescent="0.3">
      <c r="B757" s="45"/>
      <c r="C757" s="8"/>
    </row>
    <row r="758" spans="2:3" x14ac:dyDescent="0.3">
      <c r="B758" s="45"/>
      <c r="C758" s="8"/>
    </row>
    <row r="759" spans="2:3" x14ac:dyDescent="0.3">
      <c r="B759" s="45"/>
      <c r="C759" s="8"/>
    </row>
    <row r="760" spans="2:3" x14ac:dyDescent="0.3">
      <c r="B760" s="45"/>
      <c r="C760" s="8"/>
    </row>
    <row r="761" spans="2:3" x14ac:dyDescent="0.3">
      <c r="B761" s="45"/>
      <c r="C761" s="8"/>
    </row>
    <row r="762" spans="2:3" x14ac:dyDescent="0.3">
      <c r="B762" s="45"/>
      <c r="C762" s="8"/>
    </row>
    <row r="763" spans="2:3" x14ac:dyDescent="0.3">
      <c r="B763" s="45"/>
      <c r="C763" s="8"/>
    </row>
    <row r="764" spans="2:3" x14ac:dyDescent="0.3">
      <c r="B764" s="45"/>
      <c r="C764" s="8"/>
    </row>
    <row r="765" spans="2:3" x14ac:dyDescent="0.3">
      <c r="B765" s="45"/>
      <c r="C765" s="8"/>
    </row>
    <row r="766" spans="2:3" x14ac:dyDescent="0.3">
      <c r="B766" s="45"/>
      <c r="C766" s="8"/>
    </row>
    <row r="767" spans="2:3" x14ac:dyDescent="0.3">
      <c r="B767" s="45"/>
      <c r="C767" s="8"/>
    </row>
    <row r="768" spans="2:3" x14ac:dyDescent="0.3">
      <c r="B768" s="45"/>
      <c r="C768" s="8"/>
    </row>
    <row r="769" spans="2:3" x14ac:dyDescent="0.3">
      <c r="B769" s="45"/>
      <c r="C769" s="8"/>
    </row>
    <row r="770" spans="2:3" x14ac:dyDescent="0.3">
      <c r="B770" s="45"/>
      <c r="C770" s="8"/>
    </row>
    <row r="771" spans="2:3" x14ac:dyDescent="0.3">
      <c r="B771" s="45"/>
      <c r="C771" s="8"/>
    </row>
    <row r="772" spans="2:3" x14ac:dyDescent="0.3">
      <c r="B772" s="45"/>
      <c r="C772" s="8"/>
    </row>
    <row r="773" spans="2:3" x14ac:dyDescent="0.3">
      <c r="B773" s="45"/>
      <c r="C773" s="8"/>
    </row>
    <row r="774" spans="2:3" x14ac:dyDescent="0.3">
      <c r="B774" s="45"/>
      <c r="C774" s="8"/>
    </row>
    <row r="775" spans="2:3" x14ac:dyDescent="0.3">
      <c r="B775" s="45"/>
      <c r="C775" s="8"/>
    </row>
    <row r="776" spans="2:3" x14ac:dyDescent="0.3">
      <c r="B776" s="45"/>
      <c r="C776" s="8"/>
    </row>
    <row r="777" spans="2:3" x14ac:dyDescent="0.3">
      <c r="B777" s="45"/>
      <c r="C777" s="8"/>
    </row>
    <row r="778" spans="2:3" x14ac:dyDescent="0.3">
      <c r="B778" s="45"/>
      <c r="C778" s="8"/>
    </row>
    <row r="779" spans="2:3" x14ac:dyDescent="0.3">
      <c r="B779" s="45"/>
      <c r="C779" s="8"/>
    </row>
    <row r="780" spans="2:3" x14ac:dyDescent="0.3">
      <c r="B780" s="45"/>
      <c r="C780" s="8"/>
    </row>
    <row r="781" spans="2:3" x14ac:dyDescent="0.3">
      <c r="B781" s="45"/>
      <c r="C781" s="8"/>
    </row>
    <row r="782" spans="2:3" x14ac:dyDescent="0.3">
      <c r="B782" s="45"/>
      <c r="C782" s="8"/>
    </row>
    <row r="783" spans="2:3" x14ac:dyDescent="0.3">
      <c r="B783" s="45"/>
      <c r="C783" s="8"/>
    </row>
    <row r="784" spans="2:3" x14ac:dyDescent="0.3">
      <c r="B784" s="45"/>
      <c r="C784" s="8"/>
    </row>
    <row r="785" spans="2:3" x14ac:dyDescent="0.3">
      <c r="B785" s="45"/>
      <c r="C785" s="8"/>
    </row>
    <row r="786" spans="2:3" x14ac:dyDescent="0.3">
      <c r="B786" s="45"/>
      <c r="C786" s="8"/>
    </row>
    <row r="787" spans="2:3" x14ac:dyDescent="0.3">
      <c r="B787" s="45"/>
      <c r="C787" s="8"/>
    </row>
    <row r="788" spans="2:3" x14ac:dyDescent="0.3">
      <c r="B788" s="45"/>
      <c r="C788" s="8"/>
    </row>
    <row r="789" spans="2:3" x14ac:dyDescent="0.3">
      <c r="B789" s="45"/>
      <c r="C789" s="8"/>
    </row>
    <row r="790" spans="2:3" x14ac:dyDescent="0.3">
      <c r="B790" s="45"/>
      <c r="C790" s="8"/>
    </row>
    <row r="791" spans="2:3" x14ac:dyDescent="0.3">
      <c r="B791" s="45"/>
      <c r="C791" s="8"/>
    </row>
    <row r="792" spans="2:3" x14ac:dyDescent="0.3">
      <c r="B792" s="45"/>
      <c r="C792" s="8"/>
    </row>
    <row r="793" spans="2:3" x14ac:dyDescent="0.3">
      <c r="B793" s="45"/>
      <c r="C793" s="8"/>
    </row>
    <row r="794" spans="2:3" x14ac:dyDescent="0.3">
      <c r="B794" s="45"/>
      <c r="C794" s="8"/>
    </row>
    <row r="795" spans="2:3" x14ac:dyDescent="0.3">
      <c r="B795" s="45"/>
      <c r="C795" s="8"/>
    </row>
    <row r="796" spans="2:3" x14ac:dyDescent="0.3">
      <c r="B796" s="45"/>
      <c r="C796" s="8"/>
    </row>
    <row r="797" spans="2:3" x14ac:dyDescent="0.3">
      <c r="B797" s="45"/>
      <c r="C797" s="8"/>
    </row>
    <row r="798" spans="2:3" x14ac:dyDescent="0.3">
      <c r="B798" s="45"/>
      <c r="C798" s="8"/>
    </row>
    <row r="799" spans="2:3" x14ac:dyDescent="0.3">
      <c r="B799" s="45"/>
      <c r="C799" s="8"/>
    </row>
    <row r="800" spans="2:3" x14ac:dyDescent="0.3">
      <c r="B800" s="45"/>
      <c r="C800" s="8"/>
    </row>
    <row r="801" spans="2:3" x14ac:dyDescent="0.3">
      <c r="B801" s="45"/>
      <c r="C801" s="8"/>
    </row>
    <row r="802" spans="2:3" x14ac:dyDescent="0.3">
      <c r="B802" s="45"/>
      <c r="C802" s="8"/>
    </row>
    <row r="803" spans="2:3" x14ac:dyDescent="0.3">
      <c r="B803" s="45"/>
      <c r="C803" s="8"/>
    </row>
    <row r="804" spans="2:3" x14ac:dyDescent="0.3">
      <c r="B804" s="45"/>
      <c r="C804" s="8"/>
    </row>
    <row r="805" spans="2:3" x14ac:dyDescent="0.3">
      <c r="B805" s="45"/>
      <c r="C805" s="8"/>
    </row>
    <row r="806" spans="2:3" x14ac:dyDescent="0.3">
      <c r="B806" s="45"/>
      <c r="C806" s="8"/>
    </row>
    <row r="807" spans="2:3" x14ac:dyDescent="0.3">
      <c r="B807" s="45"/>
      <c r="C807" s="8"/>
    </row>
    <row r="808" spans="2:3" x14ac:dyDescent="0.3">
      <c r="B808" s="45"/>
      <c r="C808" s="8"/>
    </row>
    <row r="809" spans="2:3" x14ac:dyDescent="0.3">
      <c r="B809" s="45"/>
      <c r="C809" s="8"/>
    </row>
    <row r="810" spans="2:3" x14ac:dyDescent="0.3">
      <c r="B810" s="45"/>
      <c r="C810" s="8"/>
    </row>
    <row r="811" spans="2:3" x14ac:dyDescent="0.3">
      <c r="B811" s="45"/>
      <c r="C811" s="8"/>
    </row>
    <row r="812" spans="2:3" x14ac:dyDescent="0.3">
      <c r="B812" s="45"/>
      <c r="C812" s="8"/>
    </row>
    <row r="813" spans="2:3" x14ac:dyDescent="0.3">
      <c r="B813" s="45"/>
      <c r="C813" s="8"/>
    </row>
    <row r="814" spans="2:3" x14ac:dyDescent="0.3">
      <c r="B814" s="45"/>
      <c r="C814" s="8"/>
    </row>
    <row r="815" spans="2:3" x14ac:dyDescent="0.3">
      <c r="B815" s="45"/>
      <c r="C815" s="8"/>
    </row>
    <row r="816" spans="2:3" x14ac:dyDescent="0.3">
      <c r="B816" s="45"/>
      <c r="C816" s="8"/>
    </row>
    <row r="817" spans="2:3" x14ac:dyDescent="0.3">
      <c r="B817" s="45"/>
      <c r="C817" s="8"/>
    </row>
    <row r="818" spans="2:3" x14ac:dyDescent="0.3">
      <c r="B818" s="45"/>
      <c r="C818" s="8"/>
    </row>
    <row r="819" spans="2:3" x14ac:dyDescent="0.3">
      <c r="B819" s="45"/>
      <c r="C819" s="8"/>
    </row>
    <row r="820" spans="2:3" x14ac:dyDescent="0.3">
      <c r="B820" s="45"/>
      <c r="C820" s="8"/>
    </row>
    <row r="821" spans="2:3" x14ac:dyDescent="0.3">
      <c r="B821" s="45"/>
      <c r="C821" s="8"/>
    </row>
    <row r="822" spans="2:3" x14ac:dyDescent="0.3">
      <c r="B822" s="45"/>
      <c r="C822" s="8"/>
    </row>
    <row r="823" spans="2:3" x14ac:dyDescent="0.3">
      <c r="B823" s="45"/>
      <c r="C823" s="8"/>
    </row>
    <row r="824" spans="2:3" x14ac:dyDescent="0.3">
      <c r="B824" s="45"/>
      <c r="C824" s="8"/>
    </row>
    <row r="825" spans="2:3" x14ac:dyDescent="0.3">
      <c r="B825" s="45"/>
      <c r="C825" s="8"/>
    </row>
    <row r="826" spans="2:3" x14ac:dyDescent="0.3">
      <c r="B826" s="45"/>
      <c r="C826" s="8"/>
    </row>
    <row r="827" spans="2:3" x14ac:dyDescent="0.3">
      <c r="B827" s="45"/>
      <c r="C827" s="8"/>
    </row>
    <row r="828" spans="2:3" x14ac:dyDescent="0.3">
      <c r="B828" s="45"/>
      <c r="C828" s="8"/>
    </row>
    <row r="829" spans="2:3" x14ac:dyDescent="0.3">
      <c r="B829" s="45"/>
      <c r="C829" s="8"/>
    </row>
    <row r="830" spans="2:3" x14ac:dyDescent="0.3">
      <c r="B830" s="45"/>
      <c r="C830" s="8"/>
    </row>
    <row r="831" spans="2:3" x14ac:dyDescent="0.3">
      <c r="B831" s="45"/>
      <c r="C831" s="8"/>
    </row>
    <row r="832" spans="2:3" x14ac:dyDescent="0.3">
      <c r="B832" s="45"/>
      <c r="C832" s="8"/>
    </row>
    <row r="833" spans="2:3" x14ac:dyDescent="0.3">
      <c r="B833" s="45"/>
      <c r="C833" s="8"/>
    </row>
    <row r="834" spans="2:3" x14ac:dyDescent="0.3">
      <c r="B834" s="45"/>
      <c r="C834" s="8"/>
    </row>
    <row r="835" spans="2:3" x14ac:dyDescent="0.3">
      <c r="B835" s="45"/>
      <c r="C835" s="8"/>
    </row>
    <row r="836" spans="2:3" x14ac:dyDescent="0.3">
      <c r="B836" s="45"/>
      <c r="C836" s="8"/>
    </row>
    <row r="837" spans="2:3" x14ac:dyDescent="0.3">
      <c r="B837" s="45"/>
      <c r="C837" s="8"/>
    </row>
    <row r="838" spans="2:3" x14ac:dyDescent="0.3">
      <c r="B838" s="45"/>
      <c r="C838" s="8"/>
    </row>
    <row r="839" spans="2:3" x14ac:dyDescent="0.3">
      <c r="B839" s="45"/>
      <c r="C839" s="8"/>
    </row>
    <row r="840" spans="2:3" x14ac:dyDescent="0.3">
      <c r="B840" s="45"/>
      <c r="C840" s="8"/>
    </row>
    <row r="841" spans="2:3" x14ac:dyDescent="0.3">
      <c r="B841" s="45"/>
      <c r="C841" s="8"/>
    </row>
    <row r="842" spans="2:3" x14ac:dyDescent="0.3">
      <c r="B842" s="45"/>
      <c r="C842" s="8"/>
    </row>
    <row r="843" spans="2:3" x14ac:dyDescent="0.3">
      <c r="B843" s="45"/>
      <c r="C843" s="8"/>
    </row>
    <row r="844" spans="2:3" x14ac:dyDescent="0.3">
      <c r="B844" s="45"/>
      <c r="C844" s="8"/>
    </row>
    <row r="845" spans="2:3" x14ac:dyDescent="0.3">
      <c r="B845" s="45"/>
      <c r="C845" s="8"/>
    </row>
    <row r="846" spans="2:3" x14ac:dyDescent="0.3">
      <c r="B846" s="45"/>
      <c r="C846" s="8"/>
    </row>
    <row r="847" spans="2:3" x14ac:dyDescent="0.3">
      <c r="B847" s="45"/>
      <c r="C847" s="8"/>
    </row>
    <row r="848" spans="2:3" x14ac:dyDescent="0.3">
      <c r="B848" s="45"/>
      <c r="C848" s="8"/>
    </row>
    <row r="849" spans="2:3" x14ac:dyDescent="0.3">
      <c r="B849" s="45"/>
      <c r="C849" s="8"/>
    </row>
    <row r="850" spans="2:3" x14ac:dyDescent="0.3">
      <c r="B850" s="45"/>
      <c r="C850" s="8"/>
    </row>
    <row r="851" spans="2:3" x14ac:dyDescent="0.3">
      <c r="B851" s="45"/>
      <c r="C851" s="8"/>
    </row>
    <row r="852" spans="2:3" x14ac:dyDescent="0.3">
      <c r="B852" s="45"/>
      <c r="C852" s="8"/>
    </row>
    <row r="853" spans="2:3" x14ac:dyDescent="0.3">
      <c r="B853" s="45"/>
      <c r="C853" s="8"/>
    </row>
    <row r="854" spans="2:3" x14ac:dyDescent="0.3">
      <c r="B854" s="45"/>
      <c r="C854" s="8"/>
    </row>
    <row r="855" spans="2:3" x14ac:dyDescent="0.3">
      <c r="B855" s="45"/>
      <c r="C855" s="8"/>
    </row>
    <row r="856" spans="2:3" x14ac:dyDescent="0.3">
      <c r="B856" s="45"/>
      <c r="C856" s="8"/>
    </row>
    <row r="857" spans="2:3" x14ac:dyDescent="0.3">
      <c r="B857" s="45"/>
      <c r="C857" s="8"/>
    </row>
    <row r="858" spans="2:3" x14ac:dyDescent="0.3">
      <c r="B858" s="45"/>
      <c r="C858" s="8"/>
    </row>
    <row r="859" spans="2:3" x14ac:dyDescent="0.3">
      <c r="B859" s="45"/>
      <c r="C859" s="8"/>
    </row>
    <row r="860" spans="2:3" x14ac:dyDescent="0.3">
      <c r="B860" s="45"/>
      <c r="C860" s="8"/>
    </row>
    <row r="861" spans="2:3" x14ac:dyDescent="0.3">
      <c r="B861" s="45"/>
      <c r="C861" s="8"/>
    </row>
    <row r="862" spans="2:3" x14ac:dyDescent="0.3">
      <c r="B862" s="45"/>
      <c r="C862" s="8"/>
    </row>
    <row r="863" spans="2:3" x14ac:dyDescent="0.3">
      <c r="B863" s="45"/>
      <c r="C863" s="8"/>
    </row>
    <row r="864" spans="2:3" x14ac:dyDescent="0.3">
      <c r="B864" s="45"/>
      <c r="C864" s="8"/>
    </row>
    <row r="865" spans="2:3" x14ac:dyDescent="0.3">
      <c r="B865" s="45"/>
      <c r="C865" s="8"/>
    </row>
    <row r="866" spans="2:3" x14ac:dyDescent="0.3">
      <c r="B866" s="45"/>
      <c r="C866" s="8"/>
    </row>
    <row r="867" spans="2:3" x14ac:dyDescent="0.3">
      <c r="B867" s="45"/>
      <c r="C867" s="8"/>
    </row>
    <row r="868" spans="2:3" x14ac:dyDescent="0.3">
      <c r="B868" s="45"/>
      <c r="C868" s="8"/>
    </row>
    <row r="869" spans="2:3" x14ac:dyDescent="0.3">
      <c r="B869" s="45"/>
      <c r="C869" s="8"/>
    </row>
    <row r="870" spans="2:3" x14ac:dyDescent="0.3">
      <c r="B870" s="45"/>
      <c r="C870" s="8"/>
    </row>
    <row r="871" spans="2:3" x14ac:dyDescent="0.3">
      <c r="B871" s="45"/>
      <c r="C871" s="8"/>
    </row>
    <row r="872" spans="2:3" x14ac:dyDescent="0.3">
      <c r="B872" s="45"/>
      <c r="C872" s="8"/>
    </row>
    <row r="873" spans="2:3" x14ac:dyDescent="0.3">
      <c r="B873" s="45"/>
      <c r="C873" s="8"/>
    </row>
    <row r="874" spans="2:3" x14ac:dyDescent="0.3">
      <c r="B874" s="45"/>
      <c r="C874" s="8"/>
    </row>
    <row r="875" spans="2:3" x14ac:dyDescent="0.3">
      <c r="B875" s="45"/>
      <c r="C875" s="8"/>
    </row>
    <row r="876" spans="2:3" x14ac:dyDescent="0.3">
      <c r="B876" s="45"/>
      <c r="C876" s="8"/>
    </row>
    <row r="877" spans="2:3" x14ac:dyDescent="0.3">
      <c r="B877" s="45"/>
      <c r="C877" s="8"/>
    </row>
    <row r="878" spans="2:3" x14ac:dyDescent="0.3">
      <c r="B878" s="45"/>
      <c r="C878" s="8"/>
    </row>
    <row r="879" spans="2:3" x14ac:dyDescent="0.3">
      <c r="B879" s="45"/>
      <c r="C879" s="8"/>
    </row>
    <row r="880" spans="2:3" x14ac:dyDescent="0.3">
      <c r="B880" s="45"/>
      <c r="C880" s="8"/>
    </row>
    <row r="881" spans="2:3" x14ac:dyDescent="0.3">
      <c r="B881" s="45"/>
      <c r="C881" s="8"/>
    </row>
    <row r="882" spans="2:3" x14ac:dyDescent="0.3">
      <c r="B882" s="45"/>
      <c r="C882" s="8"/>
    </row>
    <row r="883" spans="2:3" x14ac:dyDescent="0.3">
      <c r="B883" s="45"/>
      <c r="C883" s="8"/>
    </row>
    <row r="884" spans="2:3" x14ac:dyDescent="0.3">
      <c r="B884" s="45"/>
      <c r="C884" s="8"/>
    </row>
    <row r="885" spans="2:3" x14ac:dyDescent="0.3">
      <c r="B885" s="45"/>
      <c r="C885" s="8"/>
    </row>
    <row r="886" spans="2:3" x14ac:dyDescent="0.3">
      <c r="B886" s="45"/>
      <c r="C886" s="8"/>
    </row>
    <row r="887" spans="2:3" x14ac:dyDescent="0.3">
      <c r="B887" s="45"/>
      <c r="C887" s="8"/>
    </row>
    <row r="888" spans="2:3" x14ac:dyDescent="0.3">
      <c r="B888" s="45"/>
      <c r="C888" s="8"/>
    </row>
    <row r="889" spans="2:3" x14ac:dyDescent="0.3">
      <c r="B889" s="45"/>
      <c r="C889" s="8"/>
    </row>
    <row r="890" spans="2:3" x14ac:dyDescent="0.3">
      <c r="B890" s="45"/>
      <c r="C890" s="8"/>
    </row>
    <row r="891" spans="2:3" x14ac:dyDescent="0.3">
      <c r="B891" s="45"/>
      <c r="C891" s="8"/>
    </row>
    <row r="892" spans="2:3" x14ac:dyDescent="0.3">
      <c r="B892" s="45"/>
      <c r="C892" s="8"/>
    </row>
    <row r="893" spans="2:3" x14ac:dyDescent="0.3">
      <c r="B893" s="45"/>
      <c r="C893" s="8"/>
    </row>
    <row r="894" spans="2:3" x14ac:dyDescent="0.3">
      <c r="B894" s="45"/>
      <c r="C894" s="8"/>
    </row>
    <row r="895" spans="2:3" x14ac:dyDescent="0.3">
      <c r="B895" s="45"/>
      <c r="C895" s="8"/>
    </row>
    <row r="896" spans="2:3" x14ac:dyDescent="0.3">
      <c r="B896" s="45"/>
      <c r="C896" s="8"/>
    </row>
    <row r="897" spans="2:3" x14ac:dyDescent="0.3">
      <c r="B897" s="45"/>
      <c r="C897" s="8"/>
    </row>
    <row r="898" spans="2:3" x14ac:dyDescent="0.3">
      <c r="B898" s="45"/>
      <c r="C898" s="8"/>
    </row>
    <row r="899" spans="2:3" x14ac:dyDescent="0.3">
      <c r="B899" s="45"/>
      <c r="C899" s="8"/>
    </row>
    <row r="900" spans="2:3" x14ac:dyDescent="0.3">
      <c r="B900" s="45"/>
      <c r="C900" s="8"/>
    </row>
    <row r="901" spans="2:3" x14ac:dyDescent="0.3">
      <c r="B901" s="45"/>
      <c r="C901" s="8"/>
    </row>
    <row r="902" spans="2:3" x14ac:dyDescent="0.3">
      <c r="B902" s="45"/>
      <c r="C902" s="8"/>
    </row>
    <row r="903" spans="2:3" x14ac:dyDescent="0.3">
      <c r="B903" s="45"/>
      <c r="C903" s="8"/>
    </row>
    <row r="904" spans="2:3" x14ac:dyDescent="0.3">
      <c r="B904" s="45"/>
      <c r="C904" s="8"/>
    </row>
    <row r="905" spans="2:3" x14ac:dyDescent="0.3">
      <c r="B905" s="45"/>
      <c r="C905" s="8"/>
    </row>
    <row r="906" spans="2:3" x14ac:dyDescent="0.3">
      <c r="B906" s="45"/>
      <c r="C906" s="8"/>
    </row>
    <row r="907" spans="2:3" x14ac:dyDescent="0.3">
      <c r="B907" s="45"/>
      <c r="C907" s="8"/>
    </row>
    <row r="908" spans="2:3" x14ac:dyDescent="0.3">
      <c r="B908" s="45"/>
      <c r="C908" s="8"/>
    </row>
    <row r="909" spans="2:3" x14ac:dyDescent="0.3">
      <c r="B909" s="45"/>
      <c r="C909" s="8"/>
    </row>
    <row r="910" spans="2:3" x14ac:dyDescent="0.3">
      <c r="B910" s="45"/>
      <c r="C910" s="8"/>
    </row>
    <row r="911" spans="2:3" x14ac:dyDescent="0.3">
      <c r="B911" s="45"/>
      <c r="C911" s="8"/>
    </row>
    <row r="912" spans="2:3" x14ac:dyDescent="0.3">
      <c r="B912" s="45"/>
      <c r="C912" s="8"/>
    </row>
    <row r="913" spans="2:3" x14ac:dyDescent="0.3">
      <c r="B913" s="45"/>
      <c r="C913" s="8"/>
    </row>
    <row r="914" spans="2:3" x14ac:dyDescent="0.3">
      <c r="B914" s="45"/>
      <c r="C914" s="8"/>
    </row>
    <row r="915" spans="2:3" x14ac:dyDescent="0.3">
      <c r="B915" s="45"/>
      <c r="C915" s="8"/>
    </row>
    <row r="916" spans="2:3" x14ac:dyDescent="0.3">
      <c r="B916" s="45"/>
      <c r="C916" s="8"/>
    </row>
    <row r="917" spans="2:3" x14ac:dyDescent="0.3">
      <c r="B917" s="45"/>
      <c r="C917" s="8"/>
    </row>
    <row r="918" spans="2:3" x14ac:dyDescent="0.3">
      <c r="B918" s="45"/>
      <c r="C918" s="8"/>
    </row>
    <row r="919" spans="2:3" x14ac:dyDescent="0.3">
      <c r="B919" s="45"/>
      <c r="C919" s="8"/>
    </row>
    <row r="920" spans="2:3" x14ac:dyDescent="0.3">
      <c r="B920" s="45"/>
      <c r="C920" s="8"/>
    </row>
    <row r="921" spans="2:3" x14ac:dyDescent="0.3">
      <c r="B921" s="45"/>
      <c r="C921" s="8"/>
    </row>
    <row r="922" spans="2:3" x14ac:dyDescent="0.3">
      <c r="B922" s="45"/>
      <c r="C922" s="8"/>
    </row>
    <row r="923" spans="2:3" x14ac:dyDescent="0.3">
      <c r="B923" s="45"/>
      <c r="C923" s="8"/>
    </row>
    <row r="924" spans="2:3" x14ac:dyDescent="0.3">
      <c r="B924" s="45"/>
      <c r="C924" s="8"/>
    </row>
    <row r="925" spans="2:3" x14ac:dyDescent="0.3">
      <c r="B925" s="45"/>
      <c r="C925" s="8"/>
    </row>
    <row r="926" spans="2:3" x14ac:dyDescent="0.3">
      <c r="B926" s="45"/>
      <c r="C926" s="8"/>
    </row>
    <row r="927" spans="2:3" x14ac:dyDescent="0.3">
      <c r="B927" s="45"/>
      <c r="C927" s="8"/>
    </row>
    <row r="928" spans="2:3" x14ac:dyDescent="0.3">
      <c r="B928" s="45"/>
      <c r="C928" s="8"/>
    </row>
    <row r="929" spans="2:3" x14ac:dyDescent="0.3">
      <c r="B929" s="45"/>
      <c r="C929" s="8"/>
    </row>
    <row r="930" spans="2:3" x14ac:dyDescent="0.3">
      <c r="B930" s="45"/>
      <c r="C930" s="8"/>
    </row>
    <row r="931" spans="2:3" x14ac:dyDescent="0.3">
      <c r="B931" s="45"/>
      <c r="C931" s="8"/>
    </row>
    <row r="932" spans="2:3" x14ac:dyDescent="0.3">
      <c r="B932" s="45"/>
      <c r="C932" s="8"/>
    </row>
    <row r="933" spans="2:3" x14ac:dyDescent="0.3">
      <c r="B933" s="45"/>
      <c r="C933" s="8"/>
    </row>
    <row r="934" spans="2:3" x14ac:dyDescent="0.3">
      <c r="B934" s="45"/>
      <c r="C934" s="8"/>
    </row>
    <row r="935" spans="2:3" x14ac:dyDescent="0.3">
      <c r="B935" s="45"/>
      <c r="C935" s="8"/>
    </row>
    <row r="936" spans="2:3" x14ac:dyDescent="0.3">
      <c r="B936" s="45"/>
      <c r="C936" s="8"/>
    </row>
    <row r="937" spans="2:3" x14ac:dyDescent="0.3">
      <c r="B937" s="45"/>
      <c r="C937" s="8"/>
    </row>
    <row r="938" spans="2:3" x14ac:dyDescent="0.3">
      <c r="B938" s="45"/>
      <c r="C938" s="8"/>
    </row>
    <row r="939" spans="2:3" x14ac:dyDescent="0.3">
      <c r="B939" s="45"/>
      <c r="C939" s="8"/>
    </row>
    <row r="940" spans="2:3" x14ac:dyDescent="0.3">
      <c r="B940" s="45"/>
      <c r="C940" s="8"/>
    </row>
    <row r="941" spans="2:3" x14ac:dyDescent="0.3">
      <c r="B941" s="45"/>
      <c r="C941" s="8"/>
    </row>
    <row r="942" spans="2:3" x14ac:dyDescent="0.3">
      <c r="B942" s="45"/>
      <c r="C942" s="8"/>
    </row>
    <row r="943" spans="2:3" x14ac:dyDescent="0.3">
      <c r="B943" s="45"/>
      <c r="C943" s="8"/>
    </row>
    <row r="944" spans="2:3" x14ac:dyDescent="0.3">
      <c r="B944" s="45"/>
      <c r="C944" s="8"/>
    </row>
    <row r="945" spans="2:3" x14ac:dyDescent="0.3">
      <c r="B945" s="45"/>
      <c r="C945" s="8"/>
    </row>
    <row r="946" spans="2:3" x14ac:dyDescent="0.3">
      <c r="B946" s="45"/>
      <c r="C946" s="8"/>
    </row>
    <row r="947" spans="2:3" x14ac:dyDescent="0.3">
      <c r="B947" s="45"/>
      <c r="C947" s="8"/>
    </row>
    <row r="948" spans="2:3" x14ac:dyDescent="0.3">
      <c r="B948" s="45"/>
      <c r="C948" s="8"/>
    </row>
    <row r="949" spans="2:3" x14ac:dyDescent="0.3">
      <c r="B949" s="45"/>
      <c r="C949" s="8"/>
    </row>
    <row r="950" spans="2:3" x14ac:dyDescent="0.3">
      <c r="B950" s="45"/>
      <c r="C950" s="8"/>
    </row>
    <row r="951" spans="2:3" x14ac:dyDescent="0.3">
      <c r="B951" s="45"/>
      <c r="C951" s="8"/>
    </row>
    <row r="952" spans="2:3" x14ac:dyDescent="0.3">
      <c r="B952" s="45"/>
      <c r="C952" s="8"/>
    </row>
    <row r="953" spans="2:3" x14ac:dyDescent="0.3">
      <c r="B953" s="45"/>
      <c r="C953" s="8"/>
    </row>
    <row r="954" spans="2:3" x14ac:dyDescent="0.3">
      <c r="B954" s="45"/>
      <c r="C954" s="8"/>
    </row>
    <row r="955" spans="2:3" x14ac:dyDescent="0.3">
      <c r="B955" s="45"/>
      <c r="C955" s="8"/>
    </row>
    <row r="956" spans="2:3" x14ac:dyDescent="0.3">
      <c r="B956" s="45"/>
      <c r="C956" s="8"/>
    </row>
    <row r="957" spans="2:3" x14ac:dyDescent="0.3">
      <c r="B957" s="45"/>
      <c r="C957" s="8"/>
    </row>
    <row r="958" spans="2:3" x14ac:dyDescent="0.3">
      <c r="B958" s="45"/>
      <c r="C958" s="8"/>
    </row>
    <row r="959" spans="2:3" x14ac:dyDescent="0.3">
      <c r="B959" s="45"/>
      <c r="C959" s="8"/>
    </row>
    <row r="960" spans="2:3" x14ac:dyDescent="0.3">
      <c r="B960" s="45"/>
      <c r="C960" s="8"/>
    </row>
    <row r="961" spans="2:3" x14ac:dyDescent="0.3">
      <c r="B961" s="45"/>
      <c r="C961" s="8"/>
    </row>
    <row r="962" spans="2:3" x14ac:dyDescent="0.3">
      <c r="B962" s="45"/>
      <c r="C962" s="8"/>
    </row>
    <row r="963" spans="2:3" x14ac:dyDescent="0.3">
      <c r="B963" s="45"/>
      <c r="C963" s="8"/>
    </row>
    <row r="964" spans="2:3" x14ac:dyDescent="0.3">
      <c r="B964" s="45"/>
      <c r="C964" s="8"/>
    </row>
    <row r="965" spans="2:3" x14ac:dyDescent="0.3">
      <c r="B965" s="45"/>
      <c r="C965" s="8"/>
    </row>
    <row r="966" spans="2:3" x14ac:dyDescent="0.3">
      <c r="B966" s="45"/>
      <c r="C966" s="8"/>
    </row>
    <row r="967" spans="2:3" x14ac:dyDescent="0.3">
      <c r="B967" s="45"/>
      <c r="C967" s="8"/>
    </row>
    <row r="968" spans="2:3" x14ac:dyDescent="0.3">
      <c r="B968" s="45"/>
      <c r="C968" s="8"/>
    </row>
    <row r="969" spans="2:3" x14ac:dyDescent="0.3">
      <c r="B969" s="45"/>
      <c r="C969" s="8"/>
    </row>
    <row r="970" spans="2:3" x14ac:dyDescent="0.3">
      <c r="B970" s="45"/>
      <c r="C970" s="8"/>
    </row>
    <row r="971" spans="2:3" x14ac:dyDescent="0.3">
      <c r="B971" s="45"/>
      <c r="C971" s="8"/>
    </row>
    <row r="972" spans="2:3" x14ac:dyDescent="0.3">
      <c r="B972" s="45"/>
      <c r="C972" s="8"/>
    </row>
    <row r="973" spans="2:3" x14ac:dyDescent="0.3">
      <c r="B973" s="45"/>
      <c r="C973" s="8"/>
    </row>
    <row r="974" spans="2:3" x14ac:dyDescent="0.3">
      <c r="B974" s="45"/>
      <c r="C974" s="8"/>
    </row>
    <row r="975" spans="2:3" x14ac:dyDescent="0.3">
      <c r="B975" s="45"/>
      <c r="C975" s="8"/>
    </row>
    <row r="976" spans="2:3" x14ac:dyDescent="0.3">
      <c r="B976" s="45"/>
      <c r="C976" s="8"/>
    </row>
    <row r="977" spans="2:3" x14ac:dyDescent="0.3">
      <c r="B977" s="45"/>
      <c r="C977" s="8"/>
    </row>
    <row r="978" spans="2:3" x14ac:dyDescent="0.3">
      <c r="B978" s="45"/>
      <c r="C978" s="8"/>
    </row>
    <row r="979" spans="2:3" x14ac:dyDescent="0.3">
      <c r="B979" s="45"/>
      <c r="C979" s="8"/>
    </row>
    <row r="980" spans="2:3" x14ac:dyDescent="0.3">
      <c r="B980" s="45"/>
      <c r="C980" s="8"/>
    </row>
    <row r="981" spans="2:3" x14ac:dyDescent="0.3">
      <c r="B981" s="45"/>
      <c r="C981" s="8"/>
    </row>
    <row r="982" spans="2:3" x14ac:dyDescent="0.3">
      <c r="B982" s="45"/>
      <c r="C982" s="8"/>
    </row>
    <row r="983" spans="2:3" x14ac:dyDescent="0.3">
      <c r="B983" s="45"/>
      <c r="C983" s="8"/>
    </row>
    <row r="984" spans="2:3" x14ac:dyDescent="0.3">
      <c r="B984" s="45"/>
      <c r="C984" s="8"/>
    </row>
    <row r="985" spans="2:3" x14ac:dyDescent="0.3">
      <c r="B985" s="45"/>
      <c r="C985" s="8"/>
    </row>
    <row r="986" spans="2:3" x14ac:dyDescent="0.3">
      <c r="B986" s="45"/>
      <c r="C986" s="8"/>
    </row>
    <row r="987" spans="2:3" x14ac:dyDescent="0.3">
      <c r="B987" s="45"/>
      <c r="C987" s="8"/>
    </row>
    <row r="988" spans="2:3" x14ac:dyDescent="0.3">
      <c r="B988" s="45"/>
      <c r="C988" s="8"/>
    </row>
    <row r="989" spans="2:3" x14ac:dyDescent="0.3">
      <c r="B989" s="45"/>
      <c r="C989" s="8"/>
    </row>
    <row r="990" spans="2:3" x14ac:dyDescent="0.3">
      <c r="B990" s="45"/>
      <c r="C990" s="8"/>
    </row>
    <row r="991" spans="2:3" x14ac:dyDescent="0.3">
      <c r="B991" s="45"/>
      <c r="C991" s="8"/>
    </row>
    <row r="992" spans="2:3" x14ac:dyDescent="0.3">
      <c r="B992" s="45"/>
      <c r="C992" s="8"/>
    </row>
    <row r="993" spans="2:3" x14ac:dyDescent="0.3">
      <c r="B993" s="45"/>
      <c r="C993" s="8"/>
    </row>
    <row r="994" spans="2:3" x14ac:dyDescent="0.3">
      <c r="B994" s="45"/>
      <c r="C994" s="8"/>
    </row>
    <row r="995" spans="2:3" x14ac:dyDescent="0.3">
      <c r="B995" s="45"/>
      <c r="C995" s="8"/>
    </row>
    <row r="996" spans="2:3" x14ac:dyDescent="0.3">
      <c r="B996" s="45"/>
      <c r="C996" s="8"/>
    </row>
    <row r="997" spans="2:3" x14ac:dyDescent="0.3">
      <c r="B997" s="45"/>
      <c r="C997" s="8"/>
    </row>
    <row r="998" spans="2:3" x14ac:dyDescent="0.3">
      <c r="B998" s="45"/>
      <c r="C998" s="8"/>
    </row>
    <row r="999" spans="2:3" x14ac:dyDescent="0.3">
      <c r="B999" s="45"/>
      <c r="C999" s="8"/>
    </row>
    <row r="1000" spans="2:3" x14ac:dyDescent="0.3">
      <c r="B1000" s="45"/>
      <c r="C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MacArthur, Jirrah</dc:creator>
  <cp:lastModifiedBy>MacArthur, Jirrah</cp:lastModifiedBy>
  <dcterms:created xsi:type="dcterms:W3CDTF">2025-11-13T07:55:49Z</dcterms:created>
  <dcterms:modified xsi:type="dcterms:W3CDTF">2025-11-13T08:04:11Z</dcterms:modified>
</cp:coreProperties>
</file>